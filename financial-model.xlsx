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Internship\"/>
    </mc:Choice>
  </mc:AlternateContent>
  <xr:revisionPtr revIDLastSave="0" documentId="13_ncr:1_{7DE4F002-D764-4905-A120-9E026B258FE5}" xr6:coauthVersionLast="47" xr6:coauthVersionMax="47" xr10:uidLastSave="{00000000-0000-0000-0000-000000000000}"/>
  <bookViews>
    <workbookView xWindow="-110" yWindow="-110" windowWidth="19420" windowHeight="10300" tabRatio="916" activeTab="1" xr2:uid="{00000000-000D-0000-FFFF-FFFF00000000}"/>
  </bookViews>
  <sheets>
    <sheet name="Data Sheet" sheetId="6" r:id="rId1"/>
    <sheet name="HISTORICAL FS" sheetId="8" r:id="rId2"/>
    <sheet name="RATIO ANALYSIS" sheetId="11" r:id="rId3"/>
    <sheet name="FORECASTING" sheetId="12" r:id="rId4"/>
    <sheet name="BETA" sheetId="14" r:id="rId5"/>
    <sheet name="WACC" sheetId="13" r:id="rId6"/>
    <sheet name="VARIANCE ANALYSIS" sheetId="15" r:id="rId7"/>
    <sheet name="TREND ANALYSIS" sheetId="16" r:id="rId8"/>
    <sheet name="SENSITIVITY SCENARIO ANALYSIS" sheetId="17" r:id="rId9"/>
    <sheet name="DCF" sheetId="18" r:id="rId10"/>
    <sheet name="CFS" sheetId="10" r:id="rId11"/>
    <sheet name="Profit &amp; Loss" sheetId="1" r:id="rId12"/>
    <sheet name="Quarters" sheetId="3" r:id="rId13"/>
    <sheet name="Balance Sheet" sheetId="2" r:id="rId14"/>
    <sheet name="Cash Flow" sheetId="4" r:id="rId15"/>
    <sheet name="Customization" sheetId="5" r:id="rId16"/>
  </sheets>
  <externalReferences>
    <externalReference r:id="rId17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8" l="1"/>
  <c r="C26" i="8"/>
  <c r="C14" i="8"/>
  <c r="C5" i="8"/>
  <c r="B15" i="18"/>
  <c r="B14" i="18"/>
  <c r="B12" i="18"/>
  <c r="B11" i="18"/>
  <c r="A1" i="18"/>
  <c r="D14" i="12"/>
  <c r="E14" i="12" s="1"/>
  <c r="H47" i="17"/>
  <c r="H46" i="17"/>
  <c r="H37" i="17"/>
  <c r="D21" i="17"/>
  <c r="C21" i="17"/>
  <c r="B21" i="17"/>
  <c r="D19" i="17"/>
  <c r="C19" i="17"/>
  <c r="B19" i="17"/>
  <c r="D18" i="17"/>
  <c r="C18" i="17"/>
  <c r="B18" i="17"/>
  <c r="C32" i="13"/>
  <c r="B14" i="16"/>
  <c r="B4" i="16"/>
  <c r="K2" i="16"/>
  <c r="J2" i="16"/>
  <c r="I2" i="16"/>
  <c r="H2" i="16"/>
  <c r="G2" i="16"/>
  <c r="F2" i="16"/>
  <c r="E2" i="16"/>
  <c r="D2" i="16"/>
  <c r="C2" i="16"/>
  <c r="B2" i="16"/>
  <c r="B19" i="18" l="1"/>
  <c r="B68" i="18" s="1"/>
  <c r="C6" i="15"/>
  <c r="F6" i="15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E3" i="14"/>
  <c r="D3" i="14"/>
  <c r="H12" i="13"/>
  <c r="G10" i="13"/>
  <c r="J10" i="13" s="1"/>
  <c r="C8" i="8"/>
  <c r="C11" i="8" s="1"/>
  <c r="C17" i="8" s="1"/>
  <c r="C12" i="6"/>
  <c r="L37" i="13"/>
  <c r="K32" i="13"/>
  <c r="E32" i="13"/>
  <c r="E35" i="13" s="1"/>
  <c r="K31" i="13" s="1"/>
  <c r="C33" i="13"/>
  <c r="D32" i="13" s="1"/>
  <c r="E24" i="13"/>
  <c r="I17" i="13"/>
  <c r="K30" i="13" s="1"/>
  <c r="I16" i="13"/>
  <c r="F17" i="13"/>
  <c r="F16" i="13"/>
  <c r="H10" i="13"/>
  <c r="H11" i="13"/>
  <c r="H13" i="13"/>
  <c r="H14" i="13"/>
  <c r="G11" i="13"/>
  <c r="J11" i="13" s="1"/>
  <c r="G12" i="13"/>
  <c r="J12" i="13" s="1"/>
  <c r="G13" i="13"/>
  <c r="J13" i="13" s="1"/>
  <c r="G14" i="13"/>
  <c r="J14" i="13" s="1"/>
  <c r="D15" i="12"/>
  <c r="D16" i="12"/>
  <c r="B21" i="18" s="1"/>
  <c r="B70" i="18" s="1"/>
  <c r="D17" i="12"/>
  <c r="B22" i="18" s="1"/>
  <c r="D18" i="12"/>
  <c r="B23" i="18" s="1"/>
  <c r="B72" i="18" s="1"/>
  <c r="E6" i="12"/>
  <c r="E7" i="12"/>
  <c r="E8" i="12"/>
  <c r="E9" i="12"/>
  <c r="E10" i="12"/>
  <c r="E11" i="12"/>
  <c r="E12" i="12"/>
  <c r="E13" i="12"/>
  <c r="E5" i="12"/>
  <c r="B2" i="12"/>
  <c r="B4" i="11"/>
  <c r="B3" i="16" s="1"/>
  <c r="C2" i="11"/>
  <c r="D2" i="11"/>
  <c r="E2" i="11"/>
  <c r="F2" i="11"/>
  <c r="G2" i="11"/>
  <c r="H2" i="11"/>
  <c r="I2" i="11"/>
  <c r="J2" i="11"/>
  <c r="K2" i="11"/>
  <c r="B2" i="11"/>
  <c r="E1" i="11"/>
  <c r="B2" i="8"/>
  <c r="D95" i="8"/>
  <c r="E95" i="8"/>
  <c r="F95" i="8"/>
  <c r="G95" i="8"/>
  <c r="H95" i="8"/>
  <c r="I95" i="8"/>
  <c r="J95" i="8"/>
  <c r="K95" i="8"/>
  <c r="L95" i="8"/>
  <c r="M95" i="8"/>
  <c r="D94" i="8"/>
  <c r="E94" i="8"/>
  <c r="F94" i="8"/>
  <c r="G94" i="8"/>
  <c r="H94" i="8"/>
  <c r="I94" i="8"/>
  <c r="J94" i="8"/>
  <c r="K94" i="8"/>
  <c r="L94" i="8"/>
  <c r="M94" i="8"/>
  <c r="D93" i="8"/>
  <c r="E93" i="8"/>
  <c r="F93" i="8"/>
  <c r="G93" i="8"/>
  <c r="H93" i="8"/>
  <c r="I93" i="8"/>
  <c r="J93" i="8"/>
  <c r="K93" i="8"/>
  <c r="L93" i="8"/>
  <c r="M93" i="8"/>
  <c r="D92" i="8"/>
  <c r="E92" i="8"/>
  <c r="F92" i="8"/>
  <c r="G92" i="8"/>
  <c r="H92" i="8"/>
  <c r="I92" i="8"/>
  <c r="J92" i="8"/>
  <c r="K92" i="8"/>
  <c r="L92" i="8"/>
  <c r="M92" i="8"/>
  <c r="D91" i="8"/>
  <c r="E91" i="8"/>
  <c r="F91" i="8"/>
  <c r="G91" i="8"/>
  <c r="H91" i="8"/>
  <c r="I91" i="8"/>
  <c r="J91" i="8"/>
  <c r="K91" i="8"/>
  <c r="L91" i="8"/>
  <c r="M91" i="8"/>
  <c r="D90" i="8"/>
  <c r="E90" i="8"/>
  <c r="F90" i="8"/>
  <c r="G90" i="8"/>
  <c r="H90" i="8"/>
  <c r="I90" i="8"/>
  <c r="J90" i="8"/>
  <c r="K90" i="8"/>
  <c r="L90" i="8"/>
  <c r="M90" i="8"/>
  <c r="C90" i="8"/>
  <c r="C91" i="8"/>
  <c r="C92" i="8"/>
  <c r="C93" i="8"/>
  <c r="C94" i="8"/>
  <c r="C95" i="8"/>
  <c r="D89" i="8"/>
  <c r="E89" i="8"/>
  <c r="F89" i="8"/>
  <c r="G89" i="8"/>
  <c r="H89" i="8"/>
  <c r="I89" i="8"/>
  <c r="J89" i="8"/>
  <c r="K89" i="8"/>
  <c r="L89" i="8"/>
  <c r="M89" i="8"/>
  <c r="C89" i="8"/>
  <c r="D85" i="8"/>
  <c r="E85" i="8"/>
  <c r="F85" i="8"/>
  <c r="G85" i="8"/>
  <c r="H85" i="8"/>
  <c r="I85" i="8"/>
  <c r="J85" i="8"/>
  <c r="K85" i="8"/>
  <c r="L85" i="8"/>
  <c r="M85" i="8"/>
  <c r="C85" i="8"/>
  <c r="D83" i="8"/>
  <c r="E83" i="8"/>
  <c r="F83" i="8"/>
  <c r="G83" i="8"/>
  <c r="H83" i="8"/>
  <c r="I83" i="8"/>
  <c r="J83" i="8"/>
  <c r="K83" i="8"/>
  <c r="L83" i="8"/>
  <c r="M83" i="8"/>
  <c r="D84" i="8"/>
  <c r="E84" i="8"/>
  <c r="F84" i="8"/>
  <c r="G84" i="8"/>
  <c r="H84" i="8"/>
  <c r="I84" i="8"/>
  <c r="J84" i="8"/>
  <c r="K84" i="8"/>
  <c r="L84" i="8"/>
  <c r="M84" i="8"/>
  <c r="C84" i="8"/>
  <c r="D82" i="8"/>
  <c r="E82" i="8"/>
  <c r="F82" i="8"/>
  <c r="G82" i="8"/>
  <c r="H82" i="8"/>
  <c r="I82" i="8"/>
  <c r="J82" i="8"/>
  <c r="K82" i="8"/>
  <c r="L82" i="8"/>
  <c r="M82" i="8"/>
  <c r="C83" i="8"/>
  <c r="D81" i="8"/>
  <c r="E81" i="8"/>
  <c r="F81" i="8"/>
  <c r="G81" i="8"/>
  <c r="H81" i="8"/>
  <c r="I81" i="8"/>
  <c r="J81" i="8"/>
  <c r="K81" i="8"/>
  <c r="L81" i="8"/>
  <c r="M81" i="8"/>
  <c r="C82" i="8"/>
  <c r="C81" i="8"/>
  <c r="D79" i="8"/>
  <c r="E79" i="8"/>
  <c r="F79" i="8"/>
  <c r="G79" i="8"/>
  <c r="H79" i="8"/>
  <c r="I79" i="8"/>
  <c r="J79" i="8"/>
  <c r="K79" i="8"/>
  <c r="L79" i="8"/>
  <c r="M79" i="8"/>
  <c r="D80" i="8"/>
  <c r="E80" i="8"/>
  <c r="F80" i="8"/>
  <c r="G80" i="8"/>
  <c r="H80" i="8"/>
  <c r="I80" i="8"/>
  <c r="J80" i="8"/>
  <c r="K80" i="8"/>
  <c r="L80" i="8"/>
  <c r="M80" i="8"/>
  <c r="C80" i="8"/>
  <c r="C79" i="8"/>
  <c r="D69" i="8"/>
  <c r="E69" i="8"/>
  <c r="F69" i="8"/>
  <c r="G69" i="8"/>
  <c r="H69" i="8"/>
  <c r="I69" i="8"/>
  <c r="J69" i="8"/>
  <c r="K69" i="8"/>
  <c r="L69" i="8"/>
  <c r="M69" i="8"/>
  <c r="D70" i="8"/>
  <c r="E70" i="8"/>
  <c r="F70" i="8"/>
  <c r="G70" i="8"/>
  <c r="H70" i="8"/>
  <c r="I70" i="8"/>
  <c r="J70" i="8"/>
  <c r="K70" i="8"/>
  <c r="L70" i="8"/>
  <c r="M70" i="8"/>
  <c r="D71" i="8"/>
  <c r="E71" i="8"/>
  <c r="F71" i="8"/>
  <c r="G71" i="8"/>
  <c r="H71" i="8"/>
  <c r="I71" i="8"/>
  <c r="J71" i="8"/>
  <c r="K71" i="8"/>
  <c r="L71" i="8"/>
  <c r="M71" i="8"/>
  <c r="D72" i="8"/>
  <c r="E72" i="8"/>
  <c r="F72" i="8"/>
  <c r="G72" i="8"/>
  <c r="H72" i="8"/>
  <c r="I72" i="8"/>
  <c r="J72" i="8"/>
  <c r="K72" i="8"/>
  <c r="L72" i="8"/>
  <c r="M72" i="8"/>
  <c r="D73" i="8"/>
  <c r="E73" i="8"/>
  <c r="F73" i="8"/>
  <c r="G73" i="8"/>
  <c r="H73" i="8"/>
  <c r="I73" i="8"/>
  <c r="J73" i="8"/>
  <c r="K73" i="8"/>
  <c r="L73" i="8"/>
  <c r="M73" i="8"/>
  <c r="D74" i="8"/>
  <c r="E74" i="8"/>
  <c r="F74" i="8"/>
  <c r="G74" i="8"/>
  <c r="H74" i="8"/>
  <c r="I74" i="8"/>
  <c r="J74" i="8"/>
  <c r="K74" i="8"/>
  <c r="L74" i="8"/>
  <c r="M74" i="8"/>
  <c r="C70" i="8"/>
  <c r="C71" i="8"/>
  <c r="C72" i="8"/>
  <c r="C73" i="8"/>
  <c r="C74" i="8"/>
  <c r="C69" i="8"/>
  <c r="D61" i="8"/>
  <c r="E61" i="8"/>
  <c r="F61" i="8"/>
  <c r="G61" i="8"/>
  <c r="H61" i="8"/>
  <c r="I61" i="8"/>
  <c r="J61" i="8"/>
  <c r="K61" i="8"/>
  <c r="L61" i="8"/>
  <c r="M61" i="8"/>
  <c r="C61" i="8"/>
  <c r="D55" i="8"/>
  <c r="E55" i="8"/>
  <c r="F55" i="8"/>
  <c r="G55" i="8"/>
  <c r="H55" i="8"/>
  <c r="I55" i="8"/>
  <c r="J55" i="8"/>
  <c r="K55" i="8"/>
  <c r="L55" i="8"/>
  <c r="M55" i="8"/>
  <c r="C55" i="8"/>
  <c r="D54" i="8"/>
  <c r="E54" i="8"/>
  <c r="F54" i="8"/>
  <c r="G54" i="8"/>
  <c r="H54" i="8"/>
  <c r="I54" i="8"/>
  <c r="J54" i="8"/>
  <c r="K54" i="8"/>
  <c r="L54" i="8"/>
  <c r="M54" i="8"/>
  <c r="C54" i="8"/>
  <c r="D53" i="8"/>
  <c r="E53" i="8"/>
  <c r="F53" i="8"/>
  <c r="G53" i="8"/>
  <c r="H53" i="8"/>
  <c r="I53" i="8"/>
  <c r="J53" i="8"/>
  <c r="K53" i="8"/>
  <c r="L53" i="8"/>
  <c r="M53" i="8"/>
  <c r="C53" i="8"/>
  <c r="D52" i="8"/>
  <c r="E52" i="8"/>
  <c r="F52" i="8"/>
  <c r="G52" i="8"/>
  <c r="H52" i="8"/>
  <c r="I52" i="8"/>
  <c r="J52" i="8"/>
  <c r="K52" i="8"/>
  <c r="L52" i="8"/>
  <c r="M52" i="8"/>
  <c r="C52" i="8"/>
  <c r="D50" i="8"/>
  <c r="E50" i="8"/>
  <c r="F50" i="8"/>
  <c r="G50" i="8"/>
  <c r="H50" i="8"/>
  <c r="I50" i="8"/>
  <c r="J50" i="8"/>
  <c r="K50" i="8"/>
  <c r="L50" i="8"/>
  <c r="M50" i="8"/>
  <c r="C50" i="8"/>
  <c r="D49" i="8"/>
  <c r="E49" i="8"/>
  <c r="F49" i="8"/>
  <c r="G49" i="8"/>
  <c r="H49" i="8"/>
  <c r="I49" i="8"/>
  <c r="J49" i="8"/>
  <c r="K49" i="8"/>
  <c r="L49" i="8"/>
  <c r="M49" i="8"/>
  <c r="C49" i="8"/>
  <c r="D48" i="8"/>
  <c r="E48" i="8"/>
  <c r="F48" i="8"/>
  <c r="G48" i="8"/>
  <c r="H48" i="8"/>
  <c r="I48" i="8"/>
  <c r="J48" i="8"/>
  <c r="K48" i="8"/>
  <c r="L48" i="8"/>
  <c r="M48" i="8"/>
  <c r="C48" i="8"/>
  <c r="D47" i="8"/>
  <c r="E47" i="8"/>
  <c r="F47" i="8"/>
  <c r="G47" i="8"/>
  <c r="H47" i="8"/>
  <c r="I47" i="8"/>
  <c r="J47" i="8"/>
  <c r="K47" i="8"/>
  <c r="L47" i="8"/>
  <c r="M47" i="8"/>
  <c r="C47" i="8"/>
  <c r="D46" i="8"/>
  <c r="E46" i="8"/>
  <c r="F46" i="8"/>
  <c r="G46" i="8"/>
  <c r="H46" i="8"/>
  <c r="I46" i="8"/>
  <c r="J46" i="8"/>
  <c r="K46" i="8"/>
  <c r="L46" i="8"/>
  <c r="M46" i="8"/>
  <c r="C46" i="8"/>
  <c r="D58" i="8"/>
  <c r="E58" i="8"/>
  <c r="F58" i="8"/>
  <c r="G58" i="8"/>
  <c r="H58" i="8"/>
  <c r="I58" i="8"/>
  <c r="J58" i="8"/>
  <c r="K58" i="8"/>
  <c r="L58" i="8"/>
  <c r="M58" i="8"/>
  <c r="D59" i="8"/>
  <c r="E59" i="8"/>
  <c r="F59" i="8"/>
  <c r="G59" i="8"/>
  <c r="H59" i="8"/>
  <c r="I59" i="8"/>
  <c r="J59" i="8"/>
  <c r="K59" i="8"/>
  <c r="L59" i="8"/>
  <c r="M59" i="8"/>
  <c r="D60" i="8"/>
  <c r="E60" i="8"/>
  <c r="F60" i="8"/>
  <c r="G60" i="8"/>
  <c r="H60" i="8"/>
  <c r="I60" i="8"/>
  <c r="J60" i="8"/>
  <c r="K60" i="8"/>
  <c r="L60" i="8"/>
  <c r="M60" i="8"/>
  <c r="C59" i="8"/>
  <c r="C60" i="8"/>
  <c r="C58" i="8"/>
  <c r="M40" i="8"/>
  <c r="D35" i="8"/>
  <c r="D40" i="8" s="1"/>
  <c r="C50" i="11" s="1"/>
  <c r="C52" i="11" s="1"/>
  <c r="E35" i="8"/>
  <c r="E40" i="8" s="1"/>
  <c r="D50" i="11" s="1"/>
  <c r="D52" i="11" s="1"/>
  <c r="F35" i="8"/>
  <c r="F40" i="8" s="1"/>
  <c r="E50" i="11" s="1"/>
  <c r="E52" i="11" s="1"/>
  <c r="G35" i="8"/>
  <c r="G40" i="8" s="1"/>
  <c r="F50" i="11" s="1"/>
  <c r="F52" i="11" s="1"/>
  <c r="H35" i="8"/>
  <c r="H40" i="8" s="1"/>
  <c r="G50" i="11" s="1"/>
  <c r="G52" i="11" s="1"/>
  <c r="I35" i="8"/>
  <c r="I40" i="8" s="1"/>
  <c r="J35" i="8"/>
  <c r="J40" i="8" s="1"/>
  <c r="I50" i="11" s="1"/>
  <c r="I52" i="11" s="1"/>
  <c r="K35" i="8"/>
  <c r="K40" i="8" s="1"/>
  <c r="L35" i="8"/>
  <c r="L40" i="8" s="1"/>
  <c r="K50" i="11" s="1"/>
  <c r="K52" i="11" s="1"/>
  <c r="C35" i="8"/>
  <c r="C40" i="8" s="1"/>
  <c r="B50" i="11" s="1"/>
  <c r="B52" i="11" s="1"/>
  <c r="M29" i="8"/>
  <c r="D29" i="8"/>
  <c r="E29" i="8"/>
  <c r="F29" i="8"/>
  <c r="G29" i="8"/>
  <c r="H29" i="8"/>
  <c r="I29" i="8"/>
  <c r="J29" i="8"/>
  <c r="K29" i="8"/>
  <c r="L29" i="8"/>
  <c r="C29" i="8"/>
  <c r="M23" i="8"/>
  <c r="D23" i="8"/>
  <c r="E23" i="8"/>
  <c r="F23" i="8"/>
  <c r="G23" i="8"/>
  <c r="H23" i="8"/>
  <c r="I23" i="8"/>
  <c r="J23" i="8"/>
  <c r="K23" i="8"/>
  <c r="L23" i="8"/>
  <c r="C23" i="8"/>
  <c r="M20" i="8"/>
  <c r="D20" i="8"/>
  <c r="E20" i="8"/>
  <c r="F20" i="8"/>
  <c r="G20" i="8"/>
  <c r="H20" i="8"/>
  <c r="I20" i="8"/>
  <c r="J20" i="8"/>
  <c r="K20" i="8"/>
  <c r="L20" i="8"/>
  <c r="C20" i="8"/>
  <c r="D14" i="8"/>
  <c r="E14" i="8"/>
  <c r="F14" i="8"/>
  <c r="G14" i="8"/>
  <c r="H14" i="8"/>
  <c r="I14" i="8"/>
  <c r="J14" i="8"/>
  <c r="K14" i="8"/>
  <c r="L14" i="8"/>
  <c r="M8" i="8"/>
  <c r="D8" i="8"/>
  <c r="E8" i="8"/>
  <c r="F8" i="8"/>
  <c r="G8" i="8"/>
  <c r="H8" i="8"/>
  <c r="I8" i="8"/>
  <c r="J8" i="8"/>
  <c r="K8" i="8"/>
  <c r="L8" i="8"/>
  <c r="M5" i="8"/>
  <c r="M15" i="8" s="1"/>
  <c r="D5" i="8"/>
  <c r="E5" i="8"/>
  <c r="F5" i="8"/>
  <c r="G5" i="8"/>
  <c r="H5" i="8"/>
  <c r="I5" i="8"/>
  <c r="J5" i="8"/>
  <c r="K5" i="8"/>
  <c r="L5" i="8"/>
  <c r="D3" i="8"/>
  <c r="E3" i="8"/>
  <c r="F3" i="8"/>
  <c r="G3" i="8"/>
  <c r="H3" i="8"/>
  <c r="I3" i="8"/>
  <c r="J3" i="8"/>
  <c r="K3" i="8"/>
  <c r="L3" i="8"/>
  <c r="C3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4" i="15" s="1"/>
  <c r="B5" i="1"/>
  <c r="B6" i="6"/>
  <c r="B13" i="18" s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B3" i="15" s="1"/>
  <c r="C7" i="1"/>
  <c r="D7" i="1"/>
  <c r="E7" i="1"/>
  <c r="F7" i="1"/>
  <c r="G7" i="1"/>
  <c r="H7" i="1"/>
  <c r="I7" i="1"/>
  <c r="J7" i="1"/>
  <c r="K7" i="1"/>
  <c r="B6" i="15" s="1"/>
  <c r="C8" i="1"/>
  <c r="D8" i="1"/>
  <c r="E8" i="1"/>
  <c r="F8" i="1"/>
  <c r="G8" i="1"/>
  <c r="H8" i="1"/>
  <c r="I8" i="1"/>
  <c r="J8" i="1"/>
  <c r="K8" i="1"/>
  <c r="B7" i="15" s="1"/>
  <c r="C9" i="1"/>
  <c r="D9" i="1"/>
  <c r="E9" i="1"/>
  <c r="F9" i="1"/>
  <c r="G9" i="1"/>
  <c r="H9" i="1"/>
  <c r="I9" i="1"/>
  <c r="J9" i="1"/>
  <c r="K9" i="1"/>
  <c r="B8" i="15" s="1"/>
  <c r="C10" i="1"/>
  <c r="D10" i="1"/>
  <c r="E10" i="1"/>
  <c r="F10" i="1"/>
  <c r="G10" i="1"/>
  <c r="H10" i="1"/>
  <c r="I10" i="1"/>
  <c r="J10" i="1"/>
  <c r="K10" i="1"/>
  <c r="B9" i="15" s="1"/>
  <c r="C11" i="1"/>
  <c r="D11" i="1"/>
  <c r="E11" i="1"/>
  <c r="F11" i="1"/>
  <c r="G11" i="1"/>
  <c r="H11" i="1"/>
  <c r="I11" i="1"/>
  <c r="J11" i="1"/>
  <c r="K11" i="1"/>
  <c r="B10" i="15" s="1"/>
  <c r="C12" i="1"/>
  <c r="C13" i="1" s="1"/>
  <c r="D12" i="1"/>
  <c r="E12" i="1"/>
  <c r="F12" i="1"/>
  <c r="F13" i="1" s="1"/>
  <c r="G12" i="1"/>
  <c r="G13" i="1" s="1"/>
  <c r="H12" i="1"/>
  <c r="I12" i="1"/>
  <c r="I13" i="1" s="1"/>
  <c r="J12" i="1"/>
  <c r="J13" i="1" s="1"/>
  <c r="K12" i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A1" i="1"/>
  <c r="A1" i="3" s="1"/>
  <c r="E1" i="6"/>
  <c r="H1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I14" i="3" l="1"/>
  <c r="D20" i="2"/>
  <c r="F56" i="8"/>
  <c r="F63" i="8" s="1"/>
  <c r="F65" i="8" s="1"/>
  <c r="I9" i="8"/>
  <c r="E30" i="11"/>
  <c r="G14" i="3"/>
  <c r="B71" i="18"/>
  <c r="J76" i="8"/>
  <c r="I40" i="11" s="1"/>
  <c r="E15" i="12"/>
  <c r="B20" i="18"/>
  <c r="B10" i="18"/>
  <c r="B62" i="18" s="1"/>
  <c r="B9" i="18"/>
  <c r="B53" i="18" s="1"/>
  <c r="E70" i="18" s="1"/>
  <c r="C16" i="2"/>
  <c r="J23" i="1"/>
  <c r="K21" i="2"/>
  <c r="J21" i="2"/>
  <c r="I21" i="2"/>
  <c r="B6" i="1"/>
  <c r="B19" i="1" s="1"/>
  <c r="J14" i="3"/>
  <c r="H14" i="3"/>
  <c r="G96" i="8"/>
  <c r="H28" i="11"/>
  <c r="H34" i="11" s="1"/>
  <c r="E96" i="8"/>
  <c r="H56" i="8"/>
  <c r="H63" i="8" s="1"/>
  <c r="H65" i="8" s="1"/>
  <c r="D16" i="2"/>
  <c r="H23" i="2"/>
  <c r="F28" i="11"/>
  <c r="F34" i="11" s="1"/>
  <c r="F96" i="8"/>
  <c r="D96" i="8"/>
  <c r="G56" i="8"/>
  <c r="G63" i="8" s="1"/>
  <c r="G65" i="8" s="1"/>
  <c r="J6" i="1"/>
  <c r="J19" i="1" s="1"/>
  <c r="L6" i="1"/>
  <c r="L5" i="1"/>
  <c r="E14" i="3"/>
  <c r="M86" i="8"/>
  <c r="F14" i="1"/>
  <c r="K14" i="3"/>
  <c r="G23" i="2"/>
  <c r="F21" i="2"/>
  <c r="E56" i="8"/>
  <c r="E63" i="8" s="1"/>
  <c r="E65" i="8" s="1"/>
  <c r="D56" i="8"/>
  <c r="D63" i="8" s="1"/>
  <c r="D65" i="8" s="1"/>
  <c r="L76" i="8"/>
  <c r="K38" i="11" s="1"/>
  <c r="K12" i="16" s="1"/>
  <c r="F14" i="3"/>
  <c r="H96" i="8"/>
  <c r="F6" i="8"/>
  <c r="E4" i="11" s="1"/>
  <c r="E3" i="16" s="1"/>
  <c r="D29" i="11"/>
  <c r="D35" i="11" s="1"/>
  <c r="C56" i="8"/>
  <c r="C63" i="8" s="1"/>
  <c r="C65" i="8" s="1"/>
  <c r="C28" i="11"/>
  <c r="C34" i="11" s="1"/>
  <c r="L10" i="1"/>
  <c r="C86" i="8"/>
  <c r="I76" i="8"/>
  <c r="H38" i="11" s="1"/>
  <c r="H12" i="16" s="1"/>
  <c r="G76" i="8"/>
  <c r="F40" i="11" s="1"/>
  <c r="E76" i="8"/>
  <c r="D38" i="11" s="1"/>
  <c r="D12" i="16" s="1"/>
  <c r="M76" i="8"/>
  <c r="G14" i="1"/>
  <c r="F16" i="2"/>
  <c r="G21" i="2"/>
  <c r="H30" i="11"/>
  <c r="K76" i="8"/>
  <c r="J38" i="11" s="1"/>
  <c r="J12" i="16" s="1"/>
  <c r="K8" i="11"/>
  <c r="J50" i="11"/>
  <c r="J52" i="11" s="1"/>
  <c r="H23" i="1"/>
  <c r="A1" i="2"/>
  <c r="A1" i="4" s="1"/>
  <c r="J14" i="1"/>
  <c r="I16" i="2"/>
  <c r="K16" i="2"/>
  <c r="G16" i="2"/>
  <c r="H21" i="2"/>
  <c r="C27" i="11"/>
  <c r="C33" i="11" s="1"/>
  <c r="I56" i="8"/>
  <c r="I63" i="8" s="1"/>
  <c r="F76" i="8"/>
  <c r="E40" i="11" s="1"/>
  <c r="D8" i="11"/>
  <c r="D28" i="11"/>
  <c r="D34" i="11" s="1"/>
  <c r="H31" i="11"/>
  <c r="H27" i="11"/>
  <c r="H33" i="11" s="1"/>
  <c r="H10" i="16" s="1"/>
  <c r="K33" i="13"/>
  <c r="D70" i="14"/>
  <c r="D69" i="14"/>
  <c r="G29" i="11"/>
  <c r="G35" i="11" s="1"/>
  <c r="G30" i="11"/>
  <c r="D76" i="8"/>
  <c r="C38" i="11" s="1"/>
  <c r="C12" i="16" s="1"/>
  <c r="D86" i="8"/>
  <c r="M96" i="8"/>
  <c r="G31" i="11"/>
  <c r="G27" i="11"/>
  <c r="G33" i="11" s="1"/>
  <c r="G10" i="16" s="1"/>
  <c r="L96" i="8"/>
  <c r="F31" i="11"/>
  <c r="F27" i="11"/>
  <c r="F33" i="11" s="1"/>
  <c r="F10" i="16" s="1"/>
  <c r="E28" i="11"/>
  <c r="E34" i="11" s="1"/>
  <c r="F30" i="11"/>
  <c r="E27" i="11"/>
  <c r="E33" i="11" s="1"/>
  <c r="E10" i="16" s="1"/>
  <c r="B21" i="2"/>
  <c r="D23" i="2"/>
  <c r="I96" i="8"/>
  <c r="D30" i="11"/>
  <c r="C30" i="11"/>
  <c r="E18" i="12"/>
  <c r="G6" i="1"/>
  <c r="G19" i="1" s="1"/>
  <c r="E31" i="11"/>
  <c r="M56" i="8"/>
  <c r="M63" i="8" s="1"/>
  <c r="M65" i="8" s="1"/>
  <c r="C76" i="8"/>
  <c r="B38" i="11" s="1"/>
  <c r="L86" i="8"/>
  <c r="C29" i="11"/>
  <c r="C35" i="11" s="1"/>
  <c r="G20" i="2"/>
  <c r="H76" i="8"/>
  <c r="G40" i="11" s="1"/>
  <c r="K86" i="8"/>
  <c r="D27" i="11"/>
  <c r="D33" i="11" s="1"/>
  <c r="D10" i="16" s="1"/>
  <c r="K30" i="11"/>
  <c r="K27" i="11"/>
  <c r="K33" i="11" s="1"/>
  <c r="K10" i="16" s="1"/>
  <c r="K31" i="11"/>
  <c r="C20" i="2"/>
  <c r="C21" i="2"/>
  <c r="I23" i="2"/>
  <c r="I30" i="11"/>
  <c r="I29" i="11"/>
  <c r="I35" i="11" s="1"/>
  <c r="H86" i="8"/>
  <c r="L56" i="8"/>
  <c r="L63" i="8" s="1"/>
  <c r="L65" i="8" s="1"/>
  <c r="I28" i="11"/>
  <c r="I34" i="11" s="1"/>
  <c r="H50" i="11"/>
  <c r="H52" i="11" s="1"/>
  <c r="H8" i="11"/>
  <c r="E6" i="15"/>
  <c r="G6" i="15"/>
  <c r="H6" i="15"/>
  <c r="B27" i="11"/>
  <c r="B33" i="11" s="1"/>
  <c r="B31" i="11"/>
  <c r="B30" i="11"/>
  <c r="B29" i="11"/>
  <c r="B28" i="11"/>
  <c r="B34" i="11" s="1"/>
  <c r="C96" i="8"/>
  <c r="C8" i="11"/>
  <c r="H16" i="2"/>
  <c r="D31" i="11"/>
  <c r="F86" i="8"/>
  <c r="E8" i="11"/>
  <c r="I27" i="11"/>
  <c r="I33" i="11" s="1"/>
  <c r="I10" i="16" s="1"/>
  <c r="K6" i="8"/>
  <c r="J4" i="11" s="1"/>
  <c r="J3" i="16" s="1"/>
  <c r="J30" i="11"/>
  <c r="J29" i="11"/>
  <c r="J35" i="11" s="1"/>
  <c r="J86" i="8"/>
  <c r="I86" i="8"/>
  <c r="K28" i="11"/>
  <c r="K34" i="11" s="1"/>
  <c r="F23" i="2"/>
  <c r="C31" i="11"/>
  <c r="E86" i="8"/>
  <c r="J27" i="11"/>
  <c r="J33" i="11" s="1"/>
  <c r="J10" i="16" s="1"/>
  <c r="L4" i="1"/>
  <c r="L23" i="1" s="1"/>
  <c r="K23" i="2"/>
  <c r="B11" i="15"/>
  <c r="E20" i="2"/>
  <c r="E21" i="2"/>
  <c r="L11" i="1"/>
  <c r="L7" i="1"/>
  <c r="D14" i="3"/>
  <c r="J23" i="2"/>
  <c r="K96" i="8"/>
  <c r="F8" i="11"/>
  <c r="J96" i="8"/>
  <c r="G8" i="11"/>
  <c r="K29" i="11"/>
  <c r="K35" i="11" s="1"/>
  <c r="D6" i="15"/>
  <c r="I6" i="15" s="1"/>
  <c r="E17" i="12"/>
  <c r="E16" i="12"/>
  <c r="J31" i="11"/>
  <c r="I31" i="11"/>
  <c r="L12" i="1"/>
  <c r="L13" i="1" s="1"/>
  <c r="L14" i="1" s="1"/>
  <c r="L25" i="1" s="1"/>
  <c r="G86" i="8"/>
  <c r="J28" i="11"/>
  <c r="J34" i="11" s="1"/>
  <c r="K56" i="8"/>
  <c r="K63" i="8" s="1"/>
  <c r="J56" i="8"/>
  <c r="J63" i="8" s="1"/>
  <c r="D67" i="14"/>
  <c r="E68" i="14" s="1"/>
  <c r="D68" i="14"/>
  <c r="C14" i="1"/>
  <c r="F20" i="2"/>
  <c r="E29" i="11"/>
  <c r="E35" i="11" s="1"/>
  <c r="D15" i="17"/>
  <c r="D16" i="17" s="1"/>
  <c r="C15" i="17"/>
  <c r="B15" i="17"/>
  <c r="B16" i="17" s="1"/>
  <c r="C6" i="1"/>
  <c r="C19" i="1" s="1"/>
  <c r="I6" i="8"/>
  <c r="H4" i="11" s="1"/>
  <c r="H3" i="16" s="1"/>
  <c r="G28" i="11"/>
  <c r="G34" i="11" s="1"/>
  <c r="E23" i="2"/>
  <c r="I8" i="11"/>
  <c r="E1" i="3"/>
  <c r="L9" i="1"/>
  <c r="M9" i="1" s="1"/>
  <c r="C8" i="15" s="1"/>
  <c r="E8" i="15" s="1"/>
  <c r="E16" i="2"/>
  <c r="G11" i="8"/>
  <c r="G17" i="8" s="1"/>
  <c r="G26" i="8" s="1"/>
  <c r="J8" i="11"/>
  <c r="H29" i="11"/>
  <c r="H35" i="11" s="1"/>
  <c r="K6" i="1"/>
  <c r="K20" i="2"/>
  <c r="D24" i="2"/>
  <c r="J20" i="2"/>
  <c r="F29" i="11"/>
  <c r="F35" i="11" s="1"/>
  <c r="K37" i="13"/>
  <c r="D71" i="14"/>
  <c r="D65" i="14"/>
  <c r="D73" i="14" s="1"/>
  <c r="D66" i="14"/>
  <c r="G16" i="13"/>
  <c r="H17" i="13"/>
  <c r="G17" i="13"/>
  <c r="H16" i="13"/>
  <c r="J16" i="13"/>
  <c r="D31" i="13"/>
  <c r="D35" i="13" s="1"/>
  <c r="D33" i="13"/>
  <c r="L38" i="13"/>
  <c r="D11" i="8"/>
  <c r="K21" i="8"/>
  <c r="H21" i="8"/>
  <c r="H24" i="8"/>
  <c r="G17" i="11" s="1"/>
  <c r="E6" i="8"/>
  <c r="D4" i="11" s="1"/>
  <c r="D3" i="16" s="1"/>
  <c r="J6" i="8"/>
  <c r="I4" i="11" s="1"/>
  <c r="I3" i="16" s="1"/>
  <c r="J21" i="8"/>
  <c r="J24" i="8"/>
  <c r="I17" i="11" s="1"/>
  <c r="C24" i="8"/>
  <c r="B17" i="11" s="1"/>
  <c r="I15" i="8"/>
  <c r="H16" i="11" s="1"/>
  <c r="H6" i="8"/>
  <c r="G4" i="11" s="1"/>
  <c r="G3" i="16" s="1"/>
  <c r="J11" i="8"/>
  <c r="L15" i="8"/>
  <c r="K16" i="11" s="1"/>
  <c r="J15" i="8"/>
  <c r="I16" i="11" s="1"/>
  <c r="I21" i="8"/>
  <c r="I24" i="8"/>
  <c r="H17" i="11" s="1"/>
  <c r="M11" i="8"/>
  <c r="H9" i="8"/>
  <c r="H15" i="8"/>
  <c r="G16" i="11" s="1"/>
  <c r="G21" i="8"/>
  <c r="G24" i="8"/>
  <c r="F17" i="11" s="1"/>
  <c r="G9" i="8"/>
  <c r="G15" i="8"/>
  <c r="F16" i="11" s="1"/>
  <c r="L9" i="8"/>
  <c r="L24" i="8"/>
  <c r="K17" i="11" s="1"/>
  <c r="B8" i="18" s="1"/>
  <c r="B45" i="18" s="1"/>
  <c r="D70" i="18" s="1"/>
  <c r="F9" i="8"/>
  <c r="L21" i="8"/>
  <c r="K15" i="8"/>
  <c r="J16" i="11" s="1"/>
  <c r="K24" i="8"/>
  <c r="J17" i="11" s="1"/>
  <c r="D6" i="8"/>
  <c r="C4" i="11" s="1"/>
  <c r="C3" i="16" s="1"/>
  <c r="D9" i="8"/>
  <c r="M6" i="8"/>
  <c r="E9" i="8"/>
  <c r="I11" i="8"/>
  <c r="F15" i="8"/>
  <c r="E16" i="11" s="1"/>
  <c r="F21" i="8"/>
  <c r="F24" i="8"/>
  <c r="E17" i="11" s="1"/>
  <c r="K11" i="8"/>
  <c r="H11" i="8"/>
  <c r="E15" i="8"/>
  <c r="D16" i="11" s="1"/>
  <c r="E21" i="8"/>
  <c r="E24" i="8"/>
  <c r="D17" i="11" s="1"/>
  <c r="J9" i="8"/>
  <c r="D15" i="8"/>
  <c r="C16" i="11" s="1"/>
  <c r="D21" i="8"/>
  <c r="D24" i="8"/>
  <c r="C17" i="11" s="1"/>
  <c r="C9" i="8"/>
  <c r="G6" i="8"/>
  <c r="F4" i="11" s="1"/>
  <c r="F3" i="16" s="1"/>
  <c r="F11" i="8"/>
  <c r="C15" i="8"/>
  <c r="B16" i="11" s="1"/>
  <c r="M21" i="8"/>
  <c r="K9" i="8"/>
  <c r="M24" i="8"/>
  <c r="C21" i="8"/>
  <c r="L6" i="8"/>
  <c r="K4" i="11" s="1"/>
  <c r="K3" i="16" s="1"/>
  <c r="E11" i="8"/>
  <c r="L11" i="8"/>
  <c r="D21" i="2"/>
  <c r="E24" i="2"/>
  <c r="K24" i="2"/>
  <c r="B14" i="3"/>
  <c r="D6" i="1"/>
  <c r="D19" i="1" s="1"/>
  <c r="E6" i="1"/>
  <c r="E19" i="1" s="1"/>
  <c r="E1" i="2"/>
  <c r="I14" i="1"/>
  <c r="C24" i="2"/>
  <c r="K13" i="1"/>
  <c r="B23" i="2"/>
  <c r="H14" i="1"/>
  <c r="J16" i="2"/>
  <c r="D13" i="1"/>
  <c r="E13" i="1" s="1"/>
  <c r="E14" i="1" s="1"/>
  <c r="L8" i="1"/>
  <c r="N8" i="1" s="1"/>
  <c r="F7" i="15" s="1"/>
  <c r="H7" i="15" s="1"/>
  <c r="J24" i="2"/>
  <c r="B20" i="2"/>
  <c r="I24" i="2"/>
  <c r="H24" i="2"/>
  <c r="I23" i="1"/>
  <c r="B16" i="2"/>
  <c r="G24" i="2"/>
  <c r="C23" i="2"/>
  <c r="B14" i="1"/>
  <c r="I6" i="1"/>
  <c r="I19" i="1" s="1"/>
  <c r="F24" i="2"/>
  <c r="I20" i="2"/>
  <c r="H20" i="2"/>
  <c r="K23" i="1"/>
  <c r="H6" i="1"/>
  <c r="H19" i="1" s="1"/>
  <c r="F6" i="1"/>
  <c r="F19" i="1" s="1"/>
  <c r="E1" i="4"/>
  <c r="B51" i="18" l="1"/>
  <c r="E68" i="18" s="1"/>
  <c r="B64" i="18"/>
  <c r="B63" i="18"/>
  <c r="C63" i="18" s="1"/>
  <c r="F71" i="18" s="1"/>
  <c r="B43" i="18"/>
  <c r="D68" i="18" s="1"/>
  <c r="B47" i="18"/>
  <c r="D72" i="18" s="1"/>
  <c r="B55" i="18"/>
  <c r="E72" i="18" s="1"/>
  <c r="B54" i="18"/>
  <c r="E71" i="18" s="1"/>
  <c r="N11" i="1"/>
  <c r="F10" i="15" s="1"/>
  <c r="H10" i="15" s="1"/>
  <c r="L98" i="8"/>
  <c r="B46" i="18"/>
  <c r="D71" i="18" s="1"/>
  <c r="I38" i="11"/>
  <c r="I12" i="16" s="1"/>
  <c r="B59" i="18"/>
  <c r="B60" i="18"/>
  <c r="B69" i="18"/>
  <c r="B61" i="18"/>
  <c r="B52" i="18"/>
  <c r="E69" i="18" s="1"/>
  <c r="B44" i="18"/>
  <c r="D69" i="18" s="1"/>
  <c r="H36" i="11"/>
  <c r="H11" i="16" s="1"/>
  <c r="J40" i="11"/>
  <c r="I98" i="8"/>
  <c r="K98" i="8"/>
  <c r="G38" i="11"/>
  <c r="G12" i="16" s="1"/>
  <c r="F38" i="11"/>
  <c r="F12" i="16" s="1"/>
  <c r="F36" i="11"/>
  <c r="F11" i="16" s="1"/>
  <c r="J98" i="8"/>
  <c r="H40" i="11"/>
  <c r="N33" i="11"/>
  <c r="G98" i="8"/>
  <c r="E98" i="8"/>
  <c r="K40" i="11"/>
  <c r="D36" i="11"/>
  <c r="D11" i="16" s="1"/>
  <c r="H98" i="8"/>
  <c r="B40" i="11"/>
  <c r="D39" i="11"/>
  <c r="C10" i="16"/>
  <c r="D40" i="11"/>
  <c r="N50" i="11"/>
  <c r="M50" i="11"/>
  <c r="K36" i="11"/>
  <c r="K11" i="16" s="1"/>
  <c r="J36" i="11"/>
  <c r="J11" i="16" s="1"/>
  <c r="C36" i="11"/>
  <c r="C11" i="16" s="1"/>
  <c r="D14" i="1"/>
  <c r="N9" i="1"/>
  <c r="F8" i="15" s="1"/>
  <c r="H8" i="15" s="1"/>
  <c r="M98" i="8"/>
  <c r="I65" i="8"/>
  <c r="H39" i="11"/>
  <c r="D72" i="14"/>
  <c r="N35" i="11"/>
  <c r="M11" i="1"/>
  <c r="C10" i="15" s="1"/>
  <c r="E10" i="15" s="1"/>
  <c r="C39" i="11"/>
  <c r="F39" i="11"/>
  <c r="C40" i="11"/>
  <c r="E38" i="11"/>
  <c r="E12" i="16" s="1"/>
  <c r="N30" i="11"/>
  <c r="E39" i="11"/>
  <c r="N8" i="11"/>
  <c r="K24" i="13"/>
  <c r="G8" i="15"/>
  <c r="F98" i="8"/>
  <c r="N34" i="11"/>
  <c r="D98" i="8"/>
  <c r="C98" i="8"/>
  <c r="D8" i="15"/>
  <c r="I8" i="15" s="1"/>
  <c r="M34" i="11"/>
  <c r="K65" i="8"/>
  <c r="J39" i="11"/>
  <c r="J65" i="8"/>
  <c r="I39" i="11"/>
  <c r="K25" i="13"/>
  <c r="K38" i="13" s="1"/>
  <c r="L39" i="13" s="1"/>
  <c r="B5" i="18" s="1"/>
  <c r="H38" i="17"/>
  <c r="A37" i="17" s="1"/>
  <c r="K39" i="11"/>
  <c r="G12" i="8"/>
  <c r="F10" i="11" s="1"/>
  <c r="M8" i="11"/>
  <c r="M29" i="11"/>
  <c r="E36" i="11"/>
  <c r="E11" i="16" s="1"/>
  <c r="I36" i="11"/>
  <c r="I11" i="16" s="1"/>
  <c r="N29" i="11"/>
  <c r="M30" i="11"/>
  <c r="M16" i="11"/>
  <c r="G36" i="11"/>
  <c r="G11" i="16" s="1"/>
  <c r="L19" i="1"/>
  <c r="L24" i="1" s="1"/>
  <c r="A55" i="17"/>
  <c r="A46" i="17"/>
  <c r="C16" i="17"/>
  <c r="M4" i="11"/>
  <c r="G18" i="8"/>
  <c r="F11" i="11" s="1"/>
  <c r="F5" i="16" s="1"/>
  <c r="F12" i="11"/>
  <c r="F18" i="11" s="1"/>
  <c r="F44" i="11"/>
  <c r="F24" i="11"/>
  <c r="F9" i="16" s="1"/>
  <c r="F20" i="11"/>
  <c r="F7" i="16" s="1"/>
  <c r="N16" i="11"/>
  <c r="M33" i="11"/>
  <c r="B10" i="16"/>
  <c r="M27" i="11"/>
  <c r="M31" i="11"/>
  <c r="M17" i="11"/>
  <c r="N31" i="11"/>
  <c r="M23" i="1"/>
  <c r="M4" i="1" s="1"/>
  <c r="C3" i="15" s="1"/>
  <c r="M28" i="11"/>
  <c r="K19" i="1"/>
  <c r="J24" i="1" s="1"/>
  <c r="B5" i="15"/>
  <c r="B12" i="16"/>
  <c r="D17" i="17"/>
  <c r="D20" i="17" s="1"/>
  <c r="D22" i="17" s="1"/>
  <c r="D30" i="17"/>
  <c r="D29" i="17"/>
  <c r="N28" i="11"/>
  <c r="N17" i="11"/>
  <c r="N4" i="11"/>
  <c r="N27" i="11"/>
  <c r="B35" i="11"/>
  <c r="M35" i="11" s="1"/>
  <c r="K14" i="1"/>
  <c r="K25" i="1" s="1"/>
  <c r="M25" i="1" s="1"/>
  <c r="M14" i="1" s="1"/>
  <c r="B12" i="15"/>
  <c r="N23" i="1"/>
  <c r="N4" i="1" s="1"/>
  <c r="F3" i="15" s="1"/>
  <c r="H3" i="15" s="1"/>
  <c r="B17" i="17"/>
  <c r="B20" i="17" s="1"/>
  <c r="B22" i="17" s="1"/>
  <c r="B30" i="17"/>
  <c r="B29" i="17"/>
  <c r="B39" i="11"/>
  <c r="G39" i="11"/>
  <c r="J17" i="13"/>
  <c r="C12" i="8"/>
  <c r="B10" i="11" s="1"/>
  <c r="L17" i="8"/>
  <c r="L12" i="8"/>
  <c r="K10" i="11" s="1"/>
  <c r="E17" i="8"/>
  <c r="E12" i="8"/>
  <c r="D10" i="11" s="1"/>
  <c r="J17" i="8"/>
  <c r="J12" i="8"/>
  <c r="I10" i="11" s="1"/>
  <c r="G27" i="8"/>
  <c r="F13" i="11" s="1"/>
  <c r="G32" i="8"/>
  <c r="I17" i="8"/>
  <c r="I12" i="8"/>
  <c r="H10" i="11" s="1"/>
  <c r="D17" i="8"/>
  <c r="D12" i="8"/>
  <c r="C10" i="11" s="1"/>
  <c r="M17" i="8"/>
  <c r="K5" i="11" s="1"/>
  <c r="K14" i="16" s="1"/>
  <c r="M12" i="8"/>
  <c r="H17" i="8"/>
  <c r="H12" i="8"/>
  <c r="G10" i="11" s="1"/>
  <c r="K17" i="8"/>
  <c r="K12" i="8"/>
  <c r="J10" i="11" s="1"/>
  <c r="G30" i="8"/>
  <c r="F45" i="11" s="1"/>
  <c r="F17" i="8"/>
  <c r="E5" i="11" s="1"/>
  <c r="E14" i="16" s="1"/>
  <c r="F12" i="8"/>
  <c r="E10" i="11" s="1"/>
  <c r="H25" i="1"/>
  <c r="I25" i="1"/>
  <c r="J25" i="1"/>
  <c r="M8" i="1"/>
  <c r="C7" i="15" s="1"/>
  <c r="C60" i="18" l="1"/>
  <c r="F68" i="18" s="1"/>
  <c r="C61" i="18"/>
  <c r="F69" i="18" s="1"/>
  <c r="C64" i="18"/>
  <c r="F72" i="18" s="1"/>
  <c r="C62" i="18"/>
  <c r="F70" i="18" s="1"/>
  <c r="C79" i="18"/>
  <c r="C77" i="18"/>
  <c r="C78" i="18"/>
  <c r="C80" i="18"/>
  <c r="C76" i="18"/>
  <c r="N40" i="11"/>
  <c r="B36" i="11"/>
  <c r="B11" i="16" s="1"/>
  <c r="G10" i="15"/>
  <c r="D10" i="15"/>
  <c r="I10" i="15" s="1"/>
  <c r="N38" i="11"/>
  <c r="H24" i="1"/>
  <c r="M40" i="11"/>
  <c r="M38" i="11"/>
  <c r="N39" i="11"/>
  <c r="E44" i="11"/>
  <c r="E24" i="11"/>
  <c r="E9" i="16" s="1"/>
  <c r="D5" i="11"/>
  <c r="D14" i="16" s="1"/>
  <c r="E12" i="11"/>
  <c r="E18" i="11" s="1"/>
  <c r="E20" i="11"/>
  <c r="E7" i="16" s="1"/>
  <c r="F22" i="11"/>
  <c r="F8" i="16" s="1"/>
  <c r="F43" i="11"/>
  <c r="F49" i="11"/>
  <c r="C29" i="17"/>
  <c r="C30" i="17"/>
  <c r="C17" i="17"/>
  <c r="C20" i="17" s="1"/>
  <c r="C22" i="17" s="1"/>
  <c r="N10" i="11"/>
  <c r="J20" i="11"/>
  <c r="J7" i="16" s="1"/>
  <c r="J12" i="11"/>
  <c r="J18" i="11" s="1"/>
  <c r="J44" i="11"/>
  <c r="J24" i="11"/>
  <c r="J9" i="16" s="1"/>
  <c r="I5" i="11"/>
  <c r="I14" i="16" s="1"/>
  <c r="I20" i="11"/>
  <c r="I7" i="16" s="1"/>
  <c r="I12" i="11"/>
  <c r="I18" i="11" s="1"/>
  <c r="I44" i="11"/>
  <c r="H5" i="11"/>
  <c r="H14" i="16" s="1"/>
  <c r="I24" i="11"/>
  <c r="I9" i="16" s="1"/>
  <c r="I24" i="1"/>
  <c r="K24" i="1"/>
  <c r="M24" i="1" s="1"/>
  <c r="M6" i="1" s="1"/>
  <c r="E3" i="15"/>
  <c r="D3" i="15"/>
  <c r="I3" i="15" s="1"/>
  <c r="G3" i="15"/>
  <c r="M39" i="11"/>
  <c r="G7" i="15"/>
  <c r="D7" i="15"/>
  <c r="I7" i="15" s="1"/>
  <c r="E7" i="15"/>
  <c r="G12" i="11"/>
  <c r="G18" i="11" s="1"/>
  <c r="G44" i="11"/>
  <c r="G20" i="11"/>
  <c r="G7" i="16" s="1"/>
  <c r="F5" i="11"/>
  <c r="F14" i="16" s="1"/>
  <c r="G24" i="11"/>
  <c r="G9" i="16" s="1"/>
  <c r="C5" i="11"/>
  <c r="D44" i="11"/>
  <c r="D24" i="11"/>
  <c r="D9" i="16" s="1"/>
  <c r="D12" i="11"/>
  <c r="D18" i="11" s="1"/>
  <c r="D20" i="11"/>
  <c r="D7" i="16" s="1"/>
  <c r="B23" i="17"/>
  <c r="B24" i="17" s="1"/>
  <c r="K20" i="11"/>
  <c r="K7" i="16" s="1"/>
  <c r="K44" i="11"/>
  <c r="J5" i="11"/>
  <c r="J14" i="16" s="1"/>
  <c r="K12" i="11"/>
  <c r="K18" i="11" s="1"/>
  <c r="B7" i="18" s="1"/>
  <c r="K24" i="11"/>
  <c r="K9" i="16" s="1"/>
  <c r="D23" i="17"/>
  <c r="D24" i="17" s="1"/>
  <c r="M10" i="11"/>
  <c r="C44" i="11"/>
  <c r="C24" i="11"/>
  <c r="C20" i="11"/>
  <c r="C12" i="11"/>
  <c r="H20" i="11"/>
  <c r="H7" i="16" s="1"/>
  <c r="H12" i="11"/>
  <c r="H18" i="11" s="1"/>
  <c r="H24" i="11"/>
  <c r="H9" i="16" s="1"/>
  <c r="G5" i="11"/>
  <c r="G14" i="16" s="1"/>
  <c r="H44" i="11"/>
  <c r="N36" i="11"/>
  <c r="B20" i="11"/>
  <c r="B44" i="11"/>
  <c r="B24" i="11"/>
  <c r="B12" i="11"/>
  <c r="I18" i="8"/>
  <c r="H11" i="11" s="1"/>
  <c r="H5" i="16" s="1"/>
  <c r="I26" i="8"/>
  <c r="F18" i="8"/>
  <c r="E11" i="11" s="1"/>
  <c r="E5" i="16" s="1"/>
  <c r="F26" i="8"/>
  <c r="J18" i="8"/>
  <c r="I11" i="11" s="1"/>
  <c r="I5" i="16" s="1"/>
  <c r="J26" i="8"/>
  <c r="H18" i="8"/>
  <c r="G11" i="11" s="1"/>
  <c r="G5" i="16" s="1"/>
  <c r="H26" i="8"/>
  <c r="F6" i="11" s="1"/>
  <c r="G37" i="8"/>
  <c r="G33" i="8"/>
  <c r="F14" i="11" s="1"/>
  <c r="F6" i="16" s="1"/>
  <c r="K18" i="8"/>
  <c r="J11" i="11" s="1"/>
  <c r="J5" i="16" s="1"/>
  <c r="K26" i="8"/>
  <c r="E18" i="8"/>
  <c r="D11" i="11" s="1"/>
  <c r="D5" i="16" s="1"/>
  <c r="E26" i="8"/>
  <c r="M18" i="8"/>
  <c r="M26" i="8"/>
  <c r="L18" i="8"/>
  <c r="L26" i="8"/>
  <c r="D18" i="8"/>
  <c r="C11" i="11" s="1"/>
  <c r="D26" i="8"/>
  <c r="C18" i="8"/>
  <c r="B11" i="11" s="1"/>
  <c r="N25" i="1"/>
  <c r="N14" i="1" s="1"/>
  <c r="M36" i="11" l="1"/>
  <c r="B85" i="18"/>
  <c r="C85" i="18" s="1"/>
  <c r="C90" i="18" s="1"/>
  <c r="H6" i="11"/>
  <c r="K11" i="11"/>
  <c r="K5" i="16" s="1"/>
  <c r="B27" i="18"/>
  <c r="B35" i="18" s="1"/>
  <c r="C68" i="18" s="1"/>
  <c r="B30" i="18"/>
  <c r="B38" i="18" s="1"/>
  <c r="C71" i="18" s="1"/>
  <c r="B29" i="18"/>
  <c r="B37" i="18" s="1"/>
  <c r="C70" i="18" s="1"/>
  <c r="B31" i="18"/>
  <c r="B39" i="18" s="1"/>
  <c r="C72" i="18" s="1"/>
  <c r="G72" i="18" s="1"/>
  <c r="B84" i="18" s="1"/>
  <c r="C84" i="18" s="1"/>
  <c r="B90" i="18" s="1"/>
  <c r="B28" i="18"/>
  <c r="B36" i="18" s="1"/>
  <c r="C69" i="18" s="1"/>
  <c r="N24" i="1"/>
  <c r="N6" i="1" s="1"/>
  <c r="N10" i="1" s="1"/>
  <c r="I6" i="11"/>
  <c r="F5" i="15"/>
  <c r="H5" i="15" s="1"/>
  <c r="B32" i="17"/>
  <c r="B25" i="17"/>
  <c r="B33" i="17" s="1"/>
  <c r="B31" i="17"/>
  <c r="C14" i="16"/>
  <c r="M5" i="11"/>
  <c r="N5" i="11"/>
  <c r="M20" i="11"/>
  <c r="B7" i="16"/>
  <c r="J6" i="11"/>
  <c r="M44" i="11"/>
  <c r="F48" i="11"/>
  <c r="F13" i="16" s="1"/>
  <c r="G41" i="8"/>
  <c r="C7" i="16"/>
  <c r="N20" i="11"/>
  <c r="C23" i="17"/>
  <c r="C24" i="17" s="1"/>
  <c r="C18" i="11"/>
  <c r="N18" i="11" s="1"/>
  <c r="N12" i="11"/>
  <c r="K6" i="11"/>
  <c r="M24" i="11"/>
  <c r="B9" i="16"/>
  <c r="M10" i="1"/>
  <c r="C5" i="15"/>
  <c r="N44" i="11"/>
  <c r="D6" i="11"/>
  <c r="E6" i="11"/>
  <c r="C6" i="11"/>
  <c r="G6" i="11"/>
  <c r="M11" i="11"/>
  <c r="B5" i="16"/>
  <c r="N24" i="11"/>
  <c r="C9" i="16"/>
  <c r="N11" i="11"/>
  <c r="C5" i="16"/>
  <c r="M5" i="1"/>
  <c r="C4" i="15" s="1"/>
  <c r="D31" i="17"/>
  <c r="D32" i="17"/>
  <c r="D25" i="17"/>
  <c r="D33" i="17" s="1"/>
  <c r="B18" i="11"/>
  <c r="M12" i="11"/>
  <c r="B49" i="11"/>
  <c r="B43" i="11"/>
  <c r="B22" i="11"/>
  <c r="J27" i="8"/>
  <c r="I13" i="11" s="1"/>
  <c r="J32" i="8"/>
  <c r="J30" i="8"/>
  <c r="I45" i="11" s="1"/>
  <c r="C27" i="8"/>
  <c r="B13" i="11" s="1"/>
  <c r="C30" i="8"/>
  <c r="B45" i="11" s="1"/>
  <c r="H27" i="8"/>
  <c r="G13" i="11" s="1"/>
  <c r="H32" i="8"/>
  <c r="H30" i="8"/>
  <c r="G45" i="11" s="1"/>
  <c r="L32" i="8"/>
  <c r="L27" i="8"/>
  <c r="K13" i="11" s="1"/>
  <c r="L30" i="8"/>
  <c r="K45" i="11" s="1"/>
  <c r="F27" i="8"/>
  <c r="E13" i="11" s="1"/>
  <c r="F32" i="8"/>
  <c r="F30" i="8"/>
  <c r="E45" i="11" s="1"/>
  <c r="K32" i="8"/>
  <c r="K27" i="8"/>
  <c r="J13" i="11" s="1"/>
  <c r="K30" i="8"/>
  <c r="J45" i="11" s="1"/>
  <c r="M32" i="8"/>
  <c r="M27" i="8"/>
  <c r="M30" i="8"/>
  <c r="E27" i="8"/>
  <c r="D13" i="11" s="1"/>
  <c r="E32" i="8"/>
  <c r="E30" i="8"/>
  <c r="D45" i="11" s="1"/>
  <c r="I27" i="8"/>
  <c r="H13" i="11" s="1"/>
  <c r="I32" i="8"/>
  <c r="I30" i="8"/>
  <c r="H45" i="11" s="1"/>
  <c r="D27" i="8"/>
  <c r="C13" i="11" s="1"/>
  <c r="D32" i="8"/>
  <c r="D30" i="8"/>
  <c r="C45" i="11" s="1"/>
  <c r="G71" i="18" l="1"/>
  <c r="D79" i="18" s="1"/>
  <c r="G70" i="18"/>
  <c r="D78" i="18" s="1"/>
  <c r="G68" i="18"/>
  <c r="D76" i="18" s="1"/>
  <c r="G69" i="18"/>
  <c r="D77" i="18" s="1"/>
  <c r="N5" i="1"/>
  <c r="F4" i="15" s="1"/>
  <c r="H4" i="15" s="1"/>
  <c r="D80" i="18"/>
  <c r="C31" i="17"/>
  <c r="C32" i="17"/>
  <c r="C25" i="17"/>
  <c r="C33" i="17" s="1"/>
  <c r="B8" i="16"/>
  <c r="N6" i="11"/>
  <c r="M6" i="11"/>
  <c r="M18" i="11"/>
  <c r="D22" i="11"/>
  <c r="D8" i="16" s="1"/>
  <c r="D49" i="11"/>
  <c r="C7" i="11"/>
  <c r="D43" i="11"/>
  <c r="M13" i="11"/>
  <c r="G22" i="11"/>
  <c r="G8" i="16" s="1"/>
  <c r="G43" i="11"/>
  <c r="G49" i="11"/>
  <c r="F7" i="11"/>
  <c r="F4" i="16" s="1"/>
  <c r="E5" i="15"/>
  <c r="G5" i="15"/>
  <c r="D5" i="15"/>
  <c r="I5" i="15" s="1"/>
  <c r="M45" i="11"/>
  <c r="C22" i="11"/>
  <c r="C43" i="11"/>
  <c r="C49" i="11"/>
  <c r="N13" i="11"/>
  <c r="E4" i="15"/>
  <c r="G4" i="15"/>
  <c r="D4" i="15"/>
  <c r="I4" i="15" s="1"/>
  <c r="I49" i="11"/>
  <c r="H7" i="11"/>
  <c r="H4" i="16" s="1"/>
  <c r="I22" i="11"/>
  <c r="I8" i="16" s="1"/>
  <c r="I43" i="11"/>
  <c r="M12" i="1"/>
  <c r="C9" i="15"/>
  <c r="N12" i="1"/>
  <c r="F9" i="15"/>
  <c r="H9" i="15" s="1"/>
  <c r="J7" i="11"/>
  <c r="J4" i="16" s="1"/>
  <c r="K49" i="11"/>
  <c r="K43" i="11"/>
  <c r="K22" i="11"/>
  <c r="K8" i="16" s="1"/>
  <c r="K7" i="11"/>
  <c r="K4" i="16" s="1"/>
  <c r="N45" i="11"/>
  <c r="G43" i="8"/>
  <c r="F21" i="11" s="1"/>
  <c r="F23" i="11" s="1"/>
  <c r="F51" i="11"/>
  <c r="J49" i="11"/>
  <c r="J43" i="11"/>
  <c r="I7" i="11"/>
  <c r="I4" i="16" s="1"/>
  <c r="J22" i="11"/>
  <c r="H49" i="11"/>
  <c r="H22" i="11"/>
  <c r="H8" i="16" s="1"/>
  <c r="H43" i="11"/>
  <c r="G7" i="11"/>
  <c r="G4" i="16" s="1"/>
  <c r="E22" i="11"/>
  <c r="E8" i="16" s="1"/>
  <c r="E43" i="11"/>
  <c r="E49" i="11"/>
  <c r="D7" i="11"/>
  <c r="D4" i="16" s="1"/>
  <c r="E7" i="11"/>
  <c r="E4" i="16" s="1"/>
  <c r="E33" i="8"/>
  <c r="D14" i="11" s="1"/>
  <c r="E37" i="8"/>
  <c r="L33" i="8"/>
  <c r="K14" i="11" s="1"/>
  <c r="K6" i="16" s="1"/>
  <c r="L37" i="8"/>
  <c r="D33" i="8"/>
  <c r="C14" i="11" s="1"/>
  <c r="C6" i="16" s="1"/>
  <c r="D37" i="8"/>
  <c r="K33" i="8"/>
  <c r="J14" i="11" s="1"/>
  <c r="J6" i="16" s="1"/>
  <c r="K37" i="8"/>
  <c r="F37" i="8"/>
  <c r="F33" i="8"/>
  <c r="E14" i="11" s="1"/>
  <c r="E6" i="16" s="1"/>
  <c r="H37" i="8"/>
  <c r="H33" i="8"/>
  <c r="G14" i="11" s="1"/>
  <c r="G6" i="16" s="1"/>
  <c r="M33" i="8"/>
  <c r="M37" i="8"/>
  <c r="C33" i="8"/>
  <c r="B14" i="11" s="1"/>
  <c r="C37" i="8"/>
  <c r="B48" i="11" s="1"/>
  <c r="I33" i="8"/>
  <c r="H14" i="11" s="1"/>
  <c r="H6" i="16" s="1"/>
  <c r="I37" i="8"/>
  <c r="J33" i="8"/>
  <c r="I14" i="11" s="1"/>
  <c r="I6" i="16" s="1"/>
  <c r="J37" i="8"/>
  <c r="B89" i="18" l="1"/>
  <c r="B91" i="18" s="1"/>
  <c r="C89" i="18"/>
  <c r="C91" i="18" s="1"/>
  <c r="C92" i="18" s="1"/>
  <c r="M49" i="11"/>
  <c r="M43" i="11"/>
  <c r="C8" i="16"/>
  <c r="I48" i="11"/>
  <c r="I13" i="16" s="1"/>
  <c r="J38" i="8"/>
  <c r="J41" i="8"/>
  <c r="D9" i="15"/>
  <c r="I9" i="15" s="1"/>
  <c r="G9" i="15"/>
  <c r="E9" i="15"/>
  <c r="C4" i="16"/>
  <c r="N7" i="11"/>
  <c r="M7" i="11"/>
  <c r="G48" i="11"/>
  <c r="G13" i="16" s="1"/>
  <c r="H41" i="8"/>
  <c r="H38" i="8"/>
  <c r="M22" i="11"/>
  <c r="N14" i="11"/>
  <c r="D6" i="16"/>
  <c r="H48" i="11"/>
  <c r="H13" i="16" s="1"/>
  <c r="I38" i="8"/>
  <c r="I41" i="8"/>
  <c r="L38" i="8"/>
  <c r="K48" i="11"/>
  <c r="K13" i="16" s="1"/>
  <c r="L41" i="8"/>
  <c r="N49" i="11"/>
  <c r="M13" i="1"/>
  <c r="C11" i="15"/>
  <c r="E48" i="11"/>
  <c r="E13" i="16" s="1"/>
  <c r="F38" i="8"/>
  <c r="F41" i="8"/>
  <c r="G38" i="8"/>
  <c r="J48" i="11"/>
  <c r="J13" i="16" s="1"/>
  <c r="K38" i="8"/>
  <c r="K41" i="8"/>
  <c r="D41" i="8"/>
  <c r="C48" i="11"/>
  <c r="B13" i="16"/>
  <c r="M14" i="11"/>
  <c r="B6" i="16"/>
  <c r="N22" i="11"/>
  <c r="J8" i="16"/>
  <c r="M38" i="8"/>
  <c r="M41" i="8"/>
  <c r="M43" i="8" s="1"/>
  <c r="E38" i="8"/>
  <c r="D48" i="11"/>
  <c r="D13" i="16" s="1"/>
  <c r="E41" i="8"/>
  <c r="N13" i="1"/>
  <c r="F11" i="15"/>
  <c r="H11" i="15" s="1"/>
  <c r="N43" i="11"/>
  <c r="D38" i="8"/>
  <c r="C41" i="8"/>
  <c r="C43" i="8" s="1"/>
  <c r="A96" i="18" l="1"/>
  <c r="A100" i="18" s="1"/>
  <c r="A101" i="18" s="1"/>
  <c r="B92" i="18"/>
  <c r="M48" i="11"/>
  <c r="F12" i="15"/>
  <c r="H12" i="15" s="1"/>
  <c r="N15" i="1"/>
  <c r="D51" i="11"/>
  <c r="E43" i="8"/>
  <c r="D21" i="11" s="1"/>
  <c r="C13" i="16"/>
  <c r="N48" i="11"/>
  <c r="C51" i="11"/>
  <c r="D43" i="8"/>
  <c r="C21" i="11" s="1"/>
  <c r="C23" i="11" s="1"/>
  <c r="I43" i="8"/>
  <c r="H21" i="11" s="1"/>
  <c r="H23" i="11" s="1"/>
  <c r="H51" i="11"/>
  <c r="F43" i="8"/>
  <c r="E21" i="11" s="1"/>
  <c r="E23" i="11" s="1"/>
  <c r="E51" i="11"/>
  <c r="J43" i="8"/>
  <c r="I21" i="11" s="1"/>
  <c r="I23" i="11" s="1"/>
  <c r="I51" i="11"/>
  <c r="D11" i="15"/>
  <c r="I11" i="15" s="1"/>
  <c r="E11" i="15"/>
  <c r="G11" i="15"/>
  <c r="K51" i="11"/>
  <c r="L43" i="8"/>
  <c r="K21" i="11" s="1"/>
  <c r="K23" i="11" s="1"/>
  <c r="J51" i="11"/>
  <c r="K43" i="8"/>
  <c r="J21" i="11" s="1"/>
  <c r="J23" i="11" s="1"/>
  <c r="C12" i="15"/>
  <c r="M15" i="1"/>
  <c r="H43" i="8"/>
  <c r="G21" i="11" s="1"/>
  <c r="G23" i="11" s="1"/>
  <c r="G51" i="11"/>
  <c r="B21" i="11"/>
  <c r="B51" i="11"/>
  <c r="D12" i="15" l="1"/>
  <c r="I12" i="15" s="1"/>
  <c r="E12" i="15"/>
  <c r="G12" i="15"/>
  <c r="N21" i="11"/>
  <c r="D23" i="11"/>
  <c r="N23" i="11" s="1"/>
  <c r="N51" i="11"/>
  <c r="M51" i="11"/>
  <c r="M21" i="11"/>
  <c r="B23" i="11"/>
  <c r="M23" i="11" s="1"/>
  <c r="B96" i="18" l="1"/>
  <c r="B100" i="18" s="1"/>
  <c r="B101" i="18" s="1"/>
</calcChain>
</file>

<file path=xl/sharedStrings.xml><?xml version="1.0" encoding="utf-8"?>
<sst xmlns="http://schemas.openxmlformats.org/spreadsheetml/2006/main" count="634" uniqueCount="443">
  <si>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</si>
  <si>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</si>
  <si>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</si>
  <si>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</si>
  <si>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</si>
  <si>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</si>
  <si>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</si>
  <si>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</si>
  <si>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</si>
  <si>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</si>
  <si>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</si>
  <si>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</si>
  <si>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</si>
  <si>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</si>
  <si>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</si>
  <si>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</si>
  <si>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</si>
  <si>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</si>
  <si>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</si>
  <si>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</si>
  <si>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</si>
  <si>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</si>
  <si>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</si>
  <si>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</si>
  <si>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</si>
  <si>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</si>
  <si>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</si>
  <si>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</si>
  <si>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</si>
  <si>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</si>
  <si>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</si>
  <si>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</si>
  <si>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</si>
  <si>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</si>
  <si>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</si>
  <si>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</si>
  <si>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</si>
  <si>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</si>
  <si>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</si>
  <si>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</si>
  <si>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</si>
  <si>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</si>
  <si>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</si>
  <si>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</si>
  <si>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</si>
  <si>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</si>
  <si>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</si>
  <si>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</si>
  <si>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</si>
  <si>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</si>
  <si>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</si>
  <si>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</si>
  <si>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</si>
  <si>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</si>
  <si>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</si>
  <si>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</si>
  <si>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</si>
  <si>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</si>
  <si>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</si>
  <si>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</si>
  <si>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</si>
  <si>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</si>
  <si>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</si>
  <si>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ESCORTS KUBOTA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</si>
  <si>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</si>
  <si>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</si>
  <si>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</si>
  <si>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</si>
  <si>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</si>
  <si>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</si>
  <si>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</si>
  <si>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</si>
  <si>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</si>
  <si>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</si>
  <si>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</si>
  <si>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</si>
  <si>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</si>
  <si>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</si>
  <si>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</si>
  <si>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</si>
  <si>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</si>
  <si>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</si>
  <si>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</si>
  <si>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</si>
  <si>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</si>
  <si>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</si>
  <si>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</si>
  <si>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</si>
  <si>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</si>
  <si>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</si>
  <si>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</si>
  <si>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</si>
  <si>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</si>
  <si>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</si>
  <si>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</si>
  <si>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#</t>
  </si>
  <si>
    <t>INCOME STATEMENT</t>
  </si>
  <si>
    <t>-</t>
  </si>
  <si>
    <t>COGS</t>
  </si>
  <si>
    <t>COGS % of sales</t>
  </si>
  <si>
    <t>Sales growth</t>
  </si>
  <si>
    <t xml:space="preserve">GROSS PROFIT </t>
  </si>
  <si>
    <t>SELLING AND GENERAL EXPENSES</t>
  </si>
  <si>
    <t>S&amp;G EX % of sales</t>
  </si>
  <si>
    <t>EBITDA</t>
  </si>
  <si>
    <t>INTEREST</t>
  </si>
  <si>
    <t>EBITDA margins</t>
  </si>
  <si>
    <t>interest % of sales</t>
  </si>
  <si>
    <t xml:space="preserve">DEPRICIATION </t>
  </si>
  <si>
    <t>Depriciation % of sales</t>
  </si>
  <si>
    <t>Gross margin</t>
  </si>
  <si>
    <t xml:space="preserve">EARNINGS BEFORE TAXES </t>
  </si>
  <si>
    <t>EBT % of sales</t>
  </si>
  <si>
    <t>TAX</t>
  </si>
  <si>
    <t>Effective tax rate</t>
  </si>
  <si>
    <t>NET PROFIT</t>
  </si>
  <si>
    <t>Net margin</t>
  </si>
  <si>
    <t>NO OF EQUITY SHARES</t>
  </si>
  <si>
    <t>DIVIDEND PER SHARE</t>
  </si>
  <si>
    <t>EPS % of growth</t>
  </si>
  <si>
    <t>Divident payout ratio</t>
  </si>
  <si>
    <t xml:space="preserve">RETAINED EARNINGS </t>
  </si>
  <si>
    <t xml:space="preserve">BALANCE SHEET </t>
  </si>
  <si>
    <t xml:space="preserve">Equity share capital </t>
  </si>
  <si>
    <t xml:space="preserve">Reserves </t>
  </si>
  <si>
    <t xml:space="preserve">Borrowings </t>
  </si>
  <si>
    <t>Total Liabilities</t>
  </si>
  <si>
    <t xml:space="preserve">Fixed Assets net block </t>
  </si>
  <si>
    <t>Capital work in progress</t>
  </si>
  <si>
    <t xml:space="preserve">Investments </t>
  </si>
  <si>
    <t xml:space="preserve">Other Assets </t>
  </si>
  <si>
    <t xml:space="preserve">Total non Current assets </t>
  </si>
  <si>
    <t xml:space="preserve">Inventory </t>
  </si>
  <si>
    <t>Total Assets</t>
  </si>
  <si>
    <t>Cash and Bank</t>
  </si>
  <si>
    <t xml:space="preserve">Total Current Assets </t>
  </si>
  <si>
    <t>CHECK</t>
  </si>
  <si>
    <t>#CASH FLOW STATEMENT</t>
  </si>
  <si>
    <t>CASH FLOW STATEMENT</t>
  </si>
  <si>
    <t>Cash from Operating Activity -</t>
  </si>
  <si>
    <t>Profit from operations</t>
  </si>
  <si>
    <t>Payables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</si>
  <si>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</si>
  <si>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</si>
  <si>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</si>
  <si>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</si>
  <si>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</si>
  <si>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</si>
  <si>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</si>
  <si>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</si>
  <si>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</si>
  <si>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</si>
  <si>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</si>
  <si>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</si>
  <si>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</si>
  <si>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</si>
  <si>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</si>
  <si>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</si>
  <si>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</si>
  <si>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</si>
  <si>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</si>
  <si>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</si>
  <si>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</si>
  <si>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Other opearting items</t>
  </si>
  <si>
    <t>operating activities</t>
  </si>
  <si>
    <t>CASH FROM OPERATING ACTIVITES</t>
  </si>
  <si>
    <t>Investing activities</t>
  </si>
  <si>
    <t>Fixed asset purchased</t>
  </si>
  <si>
    <t>Fixed asset sold</t>
  </si>
  <si>
    <t xml:space="preserve">Investments purchased </t>
  </si>
  <si>
    <t xml:space="preserve">Investments solds </t>
  </si>
  <si>
    <t>CASH FLOW FROM INVESTING ACTIVITES</t>
  </si>
  <si>
    <t>Financing activities</t>
  </si>
  <si>
    <t>Cash from financing activites</t>
  </si>
  <si>
    <t xml:space="preserve">NET CASH FLOW </t>
  </si>
  <si>
    <t xml:space="preserve">Gross Margin </t>
  </si>
  <si>
    <t xml:space="preserve">Sales Growth </t>
  </si>
  <si>
    <t>EBITDA Growth</t>
  </si>
  <si>
    <t>EBIT  Growth</t>
  </si>
  <si>
    <t xml:space="preserve">Net profit Growth </t>
  </si>
  <si>
    <t>Dividend Growth</t>
  </si>
  <si>
    <t xml:space="preserve">EBITDA Margin </t>
  </si>
  <si>
    <t xml:space="preserve">EBIT Margin </t>
  </si>
  <si>
    <t xml:space="preserve">EBT Margin </t>
  </si>
  <si>
    <t xml:space="preserve">Net profit margin </t>
  </si>
  <si>
    <t xml:space="preserve">Sales expenses % Sales </t>
  </si>
  <si>
    <t xml:space="preserve">Deprication% Sales </t>
  </si>
  <si>
    <t>Opearting income sales%</t>
  </si>
  <si>
    <t xml:space="preserve">Return on capital employed </t>
  </si>
  <si>
    <t>Retained earnings %</t>
  </si>
  <si>
    <t>Return on equity %</t>
  </si>
  <si>
    <t xml:space="preserve">Self sustained growth rate </t>
  </si>
  <si>
    <t xml:space="preserve">Interest coverage ratio </t>
  </si>
  <si>
    <t>Debtor Turnover ratio</t>
  </si>
  <si>
    <t xml:space="preserve">Credot turnover ratio </t>
  </si>
  <si>
    <t xml:space="preserve">Inventory turnover </t>
  </si>
  <si>
    <t xml:space="preserve">Fixed asset turnover </t>
  </si>
  <si>
    <t xml:space="preserve">Capital turnover </t>
  </si>
  <si>
    <t xml:space="preserve">Debtor days </t>
  </si>
  <si>
    <t xml:space="preserve">Payable days </t>
  </si>
  <si>
    <t>Inventory days</t>
  </si>
  <si>
    <t xml:space="preserve">Cash conversion cycle </t>
  </si>
  <si>
    <t xml:space="preserve"> </t>
  </si>
  <si>
    <t>CFO/Sales</t>
  </si>
  <si>
    <t>CFO/Total assets</t>
  </si>
  <si>
    <t>CFO/Total debt</t>
  </si>
  <si>
    <t>MEAN</t>
  </si>
  <si>
    <t>MEDIAN</t>
  </si>
  <si>
    <t>TREND LINE</t>
  </si>
  <si>
    <t>RETURN ON ASSETS</t>
  </si>
  <si>
    <t xml:space="preserve">PAT vs TOTAL ASSETS </t>
  </si>
  <si>
    <t xml:space="preserve">EBIT vs TOTAL ASSETS </t>
  </si>
  <si>
    <t>PAT AFTER TAX BENEFIT vs TOTAL ASSET</t>
  </si>
  <si>
    <t xml:space="preserve">RETURN ON EQUITY </t>
  </si>
  <si>
    <t xml:space="preserve">Cash flow earning per share </t>
  </si>
  <si>
    <t xml:space="preserve">Dividend per share </t>
  </si>
  <si>
    <t>Dividend payout ratio</t>
  </si>
  <si>
    <t xml:space="preserve">Dividend Yield ratio </t>
  </si>
  <si>
    <t>TURNOVER RATIO</t>
  </si>
  <si>
    <t>YEAR</t>
  </si>
  <si>
    <t>YEAR  WEIGHT</t>
  </si>
  <si>
    <t>SALES</t>
  </si>
  <si>
    <t>SALES GROWTH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</si>
  <si>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</si>
  <si>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</si>
  <si>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</si>
  <si>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</si>
  <si>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</si>
  <si>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</si>
  <si>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</si>
  <si>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</si>
  <si>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</si>
  <si>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</si>
  <si>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</si>
  <si>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</si>
  <si>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</si>
  <si>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</si>
  <si>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</si>
  <si>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 xml:space="preserve">Weighted average cost of capital </t>
  </si>
  <si>
    <t>All figures are in IRR unless otherwise stated</t>
  </si>
  <si>
    <t>Peer comps</t>
  </si>
  <si>
    <t>Total Debt</t>
  </si>
  <si>
    <t>Total Equity</t>
  </si>
  <si>
    <r>
      <t xml:space="preserve">Tax Rate </t>
    </r>
    <r>
      <rPr>
        <vertAlign val="superscript"/>
        <sz val="10"/>
        <color theme="1"/>
        <rFont val="Calibri"/>
        <family val="2"/>
        <scheme val="minor"/>
      </rPr>
      <t>1</t>
    </r>
  </si>
  <si>
    <t>Debt/</t>
  </si>
  <si>
    <t>Equity</t>
  </si>
  <si>
    <t>Capital</t>
  </si>
  <si>
    <t xml:space="preserve">Levered </t>
  </si>
  <si>
    <t xml:space="preserve">Unlevered </t>
  </si>
  <si>
    <r>
      <t xml:space="preserve">Beta </t>
    </r>
    <r>
      <rPr>
        <vertAlign val="superscript"/>
        <sz val="10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</si>
  <si>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0"/>
        <color theme="1"/>
        <rFont val="Calibri"/>
        <family val="2"/>
        <scheme val="minor"/>
      </rPr>
      <t>3</t>
    </r>
  </si>
  <si>
    <t>Name of the</t>
  </si>
  <si>
    <t>Country</t>
  </si>
  <si>
    <t>India</t>
  </si>
  <si>
    <t>Average</t>
  </si>
  <si>
    <t>Median</t>
  </si>
  <si>
    <t xml:space="preserve">Cost of Debt </t>
  </si>
  <si>
    <t>Pre cost tax of debt</t>
  </si>
  <si>
    <t xml:space="preserve">Tax rate </t>
  </si>
  <si>
    <t>Post tax cost of debt</t>
  </si>
  <si>
    <t>Cost of Equity</t>
  </si>
  <si>
    <t xml:space="preserve">Risk free rate </t>
  </si>
  <si>
    <t>Equity risk premium</t>
  </si>
  <si>
    <r>
      <t>Levered Beta</t>
    </r>
    <r>
      <rPr>
        <vertAlign val="superscript"/>
        <sz val="10"/>
        <color theme="1"/>
        <rFont val="Calibri"/>
        <family val="2"/>
        <scheme val="minor"/>
      </rPr>
      <t xml:space="preserve"> 4</t>
    </r>
  </si>
  <si>
    <t xml:space="preserve">Cost of Equity </t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</si>
  <si>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</si>
  <si>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</si>
  <si>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</si>
  <si>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</si>
  <si>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</si>
  <si>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</si>
  <si>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</si>
  <si>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Tax Rate</t>
  </si>
  <si>
    <t>Debt/ Equity</t>
  </si>
  <si>
    <t>Weighted Average Cost of Capital</t>
  </si>
  <si>
    <t>Debt</t>
  </si>
  <si>
    <t xml:space="preserve">Total cost </t>
  </si>
  <si>
    <t xml:space="preserve">Total Weight </t>
  </si>
  <si>
    <t>VST Tillers</t>
  </si>
  <si>
    <t>Mahindra &amp; Mahindra</t>
  </si>
  <si>
    <t>Action Construction Equipment</t>
  </si>
  <si>
    <t>Swaraj Engines</t>
  </si>
  <si>
    <t>Force Motors</t>
  </si>
  <si>
    <t>Date</t>
  </si>
  <si>
    <t>Nifty-50</t>
  </si>
  <si>
    <t>ESCO</t>
  </si>
  <si>
    <t>Nifty-50 Return</t>
  </si>
  <si>
    <t>ESCO-Return</t>
  </si>
  <si>
    <t>Raw Beta</t>
  </si>
  <si>
    <t>R-Squared</t>
  </si>
  <si>
    <t>Correlation</t>
  </si>
  <si>
    <t>SE of Beta</t>
  </si>
  <si>
    <t>Variance of Nifty</t>
  </si>
  <si>
    <t>COV of ESCO with Nifty</t>
  </si>
  <si>
    <t>Beta cross check</t>
  </si>
  <si>
    <t>Adjusted Beta</t>
  </si>
  <si>
    <t>Intercept/Alpha</t>
  </si>
  <si>
    <t>Line Item</t>
  </si>
  <si>
    <t>Actual FY25</t>
  </si>
  <si>
    <t>Forecasted FY25(best case)</t>
  </si>
  <si>
    <t>Variance ₹ Cr (vs Best)</t>
  </si>
  <si>
    <t>Variance % (vs Best)</t>
  </si>
  <si>
    <t>Forecasted FY25(Worst case)</t>
  </si>
  <si>
    <t>Variance ₹ Cr (vs worst)</t>
  </si>
  <si>
    <t>Variance % (vs Worst)</t>
  </si>
  <si>
    <t>F/U</t>
  </si>
  <si>
    <t>Reason/Commentary</t>
  </si>
  <si>
    <t>Actual ₹10,244 Cr vs Best Case ₹11,478 Cr — missed by ₹1,234 Cr (10.7%) due to FY25 actual growth of only 4.5% vs assumed growth rate of ~12% in Best Case projection</t>
  </si>
  <si>
    <t>Actual ₹1,164 Cr slightly below Best Case ₹1,331 Cr — OPM compressed to 11.4% vs assumed 11.6%</t>
  </si>
  <si>
    <t>Actual ₹600 Cr vs Best Case ₹0 — Best Case model excluded other income conservatively; actual other income from ₹5,605 Cr investment portfolio significantly boosted reported profits</t>
  </si>
  <si>
    <t>Actual ₹1,265 Cr vs Best Case ₹888 Cr — Favourable by ₹377 Cr despite lower operating profit, entirely because of ₹600 Cr Other Income not modelled in Best Case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</si>
  <si>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</si>
  <si>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</si>
  <si>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</si>
  <si>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</si>
  <si>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</si>
  <si>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</si>
  <si>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</si>
  <si>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</si>
  <si>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</si>
  <si>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</si>
  <si>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</si>
  <si>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</si>
  <si>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</si>
  <si>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</si>
  <si>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</si>
  <si>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</si>
  <si>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</si>
  <si>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</si>
  <si>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</si>
  <si>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</si>
  <si>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</si>
  <si>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</si>
  <si>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</si>
  <si>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</si>
  <si>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Sales Growth %</t>
  </si>
  <si>
    <t>Net profit Growth %</t>
  </si>
  <si>
    <t>EBITDA Margin %</t>
  </si>
  <si>
    <t>Net profit margin %</t>
  </si>
  <si>
    <t>ROCE %</t>
  </si>
  <si>
    <t>ROE %</t>
  </si>
  <si>
    <t>Interest coverage ratio %</t>
  </si>
  <si>
    <t>EBITDA Growth%</t>
  </si>
  <si>
    <t>METRIC</t>
  </si>
  <si>
    <t>TREND ANALYSIS</t>
  </si>
  <si>
    <t>Volatile- Strong Long-term</t>
  </si>
  <si>
    <t xml:space="preserve">Expanding </t>
  </si>
  <si>
    <t>Peaked FY19- Moderating</t>
  </si>
  <si>
    <t xml:space="preserve">Improving </t>
  </si>
  <si>
    <t>Gradually Rising-Watch</t>
  </si>
  <si>
    <t>Deteriorating- Turning positive</t>
  </si>
  <si>
    <t>Volatile- FY19 &amp; FY22 Weak</t>
  </si>
  <si>
    <t>Stringly Rising</t>
  </si>
  <si>
    <r>
      <rPr>
        <b/>
        <sz val="11"/>
        <color theme="1"/>
        <rFont val="Calibri"/>
        <family val="2"/>
        <scheme val="minor"/>
      </rPr>
      <t>Profitability:</t>
    </r>
    <r>
      <rPr>
        <sz val="11"/>
        <color theme="1"/>
        <rFont val="Calibri"/>
        <family val="2"/>
        <scheme val="minor"/>
      </rPr>
      <t xml:space="preserve"> EBITDA margin expanded from 4.7% (FY16) to 11.4% (FY25) margins more than doubled over the decade driven by operating leverage and raw material cost discipline. Net profit margin similarly rose from 1.1% to 6.5%.</t>
    </r>
  </si>
  <si>
    <r>
      <rPr>
        <b/>
        <sz val="11"/>
        <color theme="1"/>
        <rFont val="Calibri"/>
        <family val="2"/>
        <scheme val="minor"/>
      </rPr>
      <t>Growth:</t>
    </r>
    <r>
      <rPr>
        <sz val="11"/>
        <color theme="1"/>
        <rFont val="Calibri"/>
        <family val="2"/>
        <scheme val="minor"/>
      </rPr>
      <t xml:space="preserve"> Sales grew at a 10-year CAGR of ~12.9% with a single dip in FY20 (COVID + rural demand slowdown). Net profit growth was more volatile but directionally strong.</t>
    </r>
  </si>
  <si>
    <r>
      <rPr>
        <b/>
        <sz val="11"/>
        <color theme="1"/>
        <rFont val="Calibri"/>
        <family val="2"/>
        <scheme val="minor"/>
      </rPr>
      <t>Capital Efficiency:</t>
    </r>
    <r>
      <rPr>
        <sz val="11"/>
        <color theme="1"/>
        <rFont val="Calibri"/>
        <family val="2"/>
        <scheme val="minor"/>
      </rPr>
      <t xml:space="preserve"> ROCE peaked at 21.5% in FY19 and has moderated to ~8.8% by FY25 as the equity base (reserves) expanded rapidly from retained profits. ROE tells the same story strong profits but a growing denominator.</t>
    </r>
  </si>
  <si>
    <r>
      <rPr>
        <b/>
        <sz val="11"/>
        <color theme="1"/>
        <rFont val="Calibri"/>
        <family val="2"/>
        <scheme val="minor"/>
      </rPr>
      <t xml:space="preserve">Leverage: </t>
    </r>
    <r>
      <rPr>
        <sz val="11"/>
        <color theme="1"/>
        <rFont val="Calibri"/>
        <family val="2"/>
        <scheme val="minor"/>
      </rPr>
      <t>Interest Coverage improved from a concerning 2x in FY16 to 31.6x in FY25 reflecting consistent debt repayment (borrowings fell from ₹368 Cr to ₹105 Cr) and strong EBIT growth.</t>
    </r>
  </si>
  <si>
    <r>
      <rPr>
        <b/>
        <sz val="11"/>
        <color theme="1"/>
        <rFont val="Calibri"/>
        <family val="2"/>
        <scheme val="minor"/>
      </rPr>
      <t>Working Capital:</t>
    </r>
    <r>
      <rPr>
        <sz val="11"/>
        <color theme="1"/>
        <rFont val="Calibri"/>
        <family val="2"/>
        <scheme val="minor"/>
      </rPr>
      <t xml:space="preserve"> CCC turned from negative (-32 days in FY16) to positive (+4 days in FY25) a gradual deterioration in working capital efficiency. Debtor days rose from 40 to 53 at peak, signalling slower collections as the business scaled.</t>
    </r>
  </si>
  <si>
    <r>
      <rPr>
        <b/>
        <sz val="11"/>
        <color theme="1"/>
        <rFont val="Calibri"/>
        <family val="2"/>
        <scheme val="minor"/>
      </rPr>
      <t>Cash Quality:</t>
    </r>
    <r>
      <rPr>
        <sz val="11"/>
        <color theme="1"/>
        <rFont val="Calibri"/>
        <family val="2"/>
        <scheme val="minor"/>
      </rPr>
      <t xml:space="preserve"> CFO/Sales was volatile severely negative in FY19 (-12.4%) due to large working capital build, and weak again in FY22 (-4.8%). FY25 recovery to 16.75% is strong and confirms earnings quality has improved.</t>
    </r>
  </si>
  <si>
    <r>
      <rPr>
        <b/>
        <sz val="11"/>
        <color theme="1"/>
        <rFont val="Calibri"/>
        <family val="2"/>
        <scheme val="minor"/>
      </rPr>
      <t xml:space="preserve">EPS: </t>
    </r>
    <r>
      <rPr>
        <sz val="11"/>
        <color theme="1"/>
        <rFont val="Calibri"/>
        <family val="2"/>
        <scheme val="minor"/>
      </rPr>
      <t>EPS grew from ₹3.22 to ₹59.38 an 18x increase over 10 years reflecting both profit growth and the effect of share buybacks reducing the share count.</t>
    </r>
  </si>
  <si>
    <t>ESCORTS KUBOTA LIMITED - 10 YEAR TREND ANALYSIS (FY2016-FY2025)</t>
  </si>
  <si>
    <t>SCENARIO ANALYSIS - ESCORTS KUBOTA ANALYSIS</t>
  </si>
  <si>
    <t xml:space="preserve">ASSUMPTION </t>
  </si>
  <si>
    <t>BEAR CASE</t>
  </si>
  <si>
    <t>BASE CASE</t>
  </si>
  <si>
    <t>BULL CASE</t>
  </si>
  <si>
    <t>SCENARIO ASSUMPTIONS</t>
  </si>
  <si>
    <t>Revenue Growth %</t>
  </si>
  <si>
    <t>Other Income (₹ Cr)</t>
  </si>
  <si>
    <t>Depriciation (₹ Cr)</t>
  </si>
  <si>
    <t>Interest (₹ Cr)</t>
  </si>
  <si>
    <t>Tax rate %</t>
  </si>
  <si>
    <t>No of Shares (Cr)</t>
  </si>
  <si>
    <t>LINE ITEM</t>
  </si>
  <si>
    <t>PROJECTED INCOME STATEMENT- FY2026E</t>
  </si>
  <si>
    <t>Base Revenue (FY25 ACTUAL)</t>
  </si>
  <si>
    <t>Projected Revenue (FY26E)</t>
  </si>
  <si>
    <t>Projected EBITDA FY26E)</t>
  </si>
  <si>
    <t>EBIT</t>
  </si>
  <si>
    <t>PBT</t>
  </si>
  <si>
    <t>Net Profit</t>
  </si>
  <si>
    <t>SCENARIO vs ACTUAL FY25</t>
  </si>
  <si>
    <t>BEAR vs FY25</t>
  </si>
  <si>
    <t>BASE vs FY25</t>
  </si>
  <si>
    <t>BULLvs FY-25</t>
  </si>
  <si>
    <t>Revenue Variance ₹</t>
  </si>
  <si>
    <t>Revenue Variance %</t>
  </si>
  <si>
    <t>Net Profit Variance %</t>
  </si>
  <si>
    <t>Net Profit Variance ₹</t>
  </si>
  <si>
    <t>EPS Variance ₹</t>
  </si>
  <si>
    <t>WACC SENSITIVITY- Beta vs Equity Risk Premium</t>
  </si>
  <si>
    <t>NET PROFIT SENSITIVITY -Revenue Growth % vs EBITDA Margin %</t>
  </si>
  <si>
    <t>EPS SENSITIVITY — Revenue Growth % vs EBITDA Margin %</t>
  </si>
  <si>
    <t>tornato</t>
  </si>
  <si>
    <t>VALUATION DATE: May 2025</t>
  </si>
  <si>
    <t>ASSUMPTIONS</t>
  </si>
  <si>
    <t>WACC</t>
  </si>
  <si>
    <t>Terminal growth rate (g)</t>
  </si>
  <si>
    <t>EBIT Margin %</t>
  </si>
  <si>
    <t>D&amp;A % of Sales</t>
  </si>
  <si>
    <t>Capex % of Sales</t>
  </si>
  <si>
    <t>NWC % of Sales</t>
  </si>
  <si>
    <t xml:space="preserve">Shares outstanding </t>
  </si>
  <si>
    <t>Current market price</t>
  </si>
  <si>
    <t>EV/EBITDA Exit multiplier</t>
  </si>
  <si>
    <t>Net cash</t>
  </si>
  <si>
    <t xml:space="preserve">PROJECTED INCOME STATEMENT </t>
  </si>
  <si>
    <t>FY26E</t>
  </si>
  <si>
    <t>FY27E</t>
  </si>
  <si>
    <t>FY28E</t>
  </si>
  <si>
    <t>FY29E</t>
  </si>
  <si>
    <t>FY30E</t>
  </si>
  <si>
    <t>VALUES</t>
  </si>
  <si>
    <t>PROJECTED P&amp;L FOR FCF</t>
  </si>
  <si>
    <t>NOPAT</t>
  </si>
  <si>
    <t>CAPEX FOR FCF</t>
  </si>
  <si>
    <t>DEPRECIATION AND AMMORTIATION FOR FCF</t>
  </si>
  <si>
    <t>CHANGE IN NWC</t>
  </si>
  <si>
    <t>FY25A</t>
  </si>
  <si>
    <t>CHANGE</t>
  </si>
  <si>
    <t>FREE CASH FLOWS  TO FIRM (FCFF)</t>
  </si>
  <si>
    <t>Year</t>
  </si>
  <si>
    <t>Revenue</t>
  </si>
  <si>
    <t>D&amp;A</t>
  </si>
  <si>
    <t>Capex</t>
  </si>
  <si>
    <t>ΔNWC</t>
  </si>
  <si>
    <t>FCFF</t>
  </si>
  <si>
    <t>NOPAT/ EBIT FOR FCF</t>
  </si>
  <si>
    <t>DISCOUT FACTORS</t>
  </si>
  <si>
    <t>Time</t>
  </si>
  <si>
    <t>DF</t>
  </si>
  <si>
    <t>PV</t>
  </si>
  <si>
    <t>TERMINAL VALUE</t>
  </si>
  <si>
    <t>PV OF TERMINAL VALUE</t>
  </si>
  <si>
    <t xml:space="preserve">GORDEN GROWTH MODEL </t>
  </si>
  <si>
    <t>EXIT MULTIPLE METHOD</t>
  </si>
  <si>
    <t>ENTERPRISE VALUE</t>
  </si>
  <si>
    <t>PV of FCFF</t>
  </si>
  <si>
    <t>PV of Terminal value</t>
  </si>
  <si>
    <t>Enterprise value</t>
  </si>
  <si>
    <t>EQUITY VALUE</t>
  </si>
  <si>
    <t>Implied Share Price</t>
  </si>
  <si>
    <t>Terminal value as % OF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</si>
</sst>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[$-14009]dd/mm/yyyy;@"/>
    <numFmt numFmtId="167" formatCode="&quot;₹&quot;\ #,##0.00"/>
    <numFmt numFmtId="168" formatCode="0.00&quot;x&quot;"/>
    <numFmt numFmtId="169" formatCode="0&quot;days&quot;"/>
    <numFmt numFmtId="170" formatCode="0&quot;x&quot;"/>
    <numFmt numFmtId="171" formatCode="#,##0.0"/>
    <numFmt numFmtId="172" formatCode="0.0%"/>
    <numFmt numFmtId="173" formatCode="0.0000"/>
    <numFmt numFmtId="174" formatCode="_ [$₹-4009]\ * #,##0.00_ ;_ [$₹-4009]\ * \-#,##0.00_ ;_ [$₹-4009]\ * &quot;-&quot;??_ ;_ @_ 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Arial Unicode MS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8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6" borderId="0" xfId="0" applyFill="1"/>
    <xf numFmtId="17" fontId="3" fillId="0" borderId="0" xfId="1" applyNumberFormat="1" applyFont="1" applyBorder="1"/>
    <xf numFmtId="0" fontId="2" fillId="7" borderId="0" xfId="0" applyFont="1" applyFill="1"/>
    <xf numFmtId="17" fontId="2" fillId="7" borderId="0" xfId="0" applyNumberFormat="1" applyFont="1" applyFill="1"/>
    <xf numFmtId="0" fontId="2" fillId="7" borderId="0" xfId="0" applyFont="1" applyFill="1" applyAlignment="1">
      <alignment horizontal="center"/>
    </xf>
    <xf numFmtId="0" fontId="1" fillId="6" borderId="0" xfId="0" applyFont="1" applyFill="1"/>
    <xf numFmtId="0" fontId="10" fillId="6" borderId="0" xfId="0" applyFont="1" applyFill="1"/>
    <xf numFmtId="0" fontId="0" fillId="6" borderId="0" xfId="0" applyFill="1" applyAlignment="1">
      <alignment horizontal="right"/>
    </xf>
    <xf numFmtId="0" fontId="10" fillId="6" borderId="0" xfId="0" applyFont="1" applyFill="1" applyAlignment="1">
      <alignment horizontal="right"/>
    </xf>
    <xf numFmtId="10" fontId="10" fillId="6" borderId="0" xfId="6" applyNumberFormat="1" applyFont="1" applyFill="1"/>
    <xf numFmtId="167" fontId="1" fillId="6" borderId="0" xfId="0" applyNumberFormat="1" applyFont="1" applyFill="1"/>
    <xf numFmtId="167" fontId="1" fillId="6" borderId="0" xfId="0" applyNumberFormat="1" applyFont="1" applyFill="1" applyAlignment="1">
      <alignment horizontal="right"/>
    </xf>
    <xf numFmtId="10" fontId="10" fillId="6" borderId="0" xfId="0" applyNumberFormat="1" applyFont="1" applyFill="1"/>
    <xf numFmtId="0" fontId="11" fillId="6" borderId="0" xfId="0" applyFont="1" applyFill="1"/>
    <xf numFmtId="10" fontId="11" fillId="6" borderId="0" xfId="0" applyNumberFormat="1" applyFont="1" applyFill="1"/>
    <xf numFmtId="10" fontId="11" fillId="6" borderId="0" xfId="6" applyNumberFormat="1" applyFont="1" applyFill="1"/>
    <xf numFmtId="10" fontId="12" fillId="6" borderId="0" xfId="6" applyNumberFormat="1" applyFont="1" applyFill="1"/>
    <xf numFmtId="0" fontId="1" fillId="8" borderId="0" xfId="0" applyFont="1" applyFill="1"/>
    <xf numFmtId="166" fontId="0" fillId="8" borderId="0" xfId="0" applyNumberFormat="1" applyFill="1"/>
    <xf numFmtId="0" fontId="0" fillId="8" borderId="0" xfId="0" applyFill="1"/>
    <xf numFmtId="10" fontId="1" fillId="6" borderId="0" xfId="6" applyNumberFormat="1" applyFont="1" applyFill="1"/>
    <xf numFmtId="167" fontId="11" fillId="6" borderId="0" xfId="0" applyNumberFormat="1" applyFont="1" applyFill="1"/>
    <xf numFmtId="167" fontId="0" fillId="6" borderId="0" xfId="0" applyNumberFormat="1" applyFill="1"/>
    <xf numFmtId="2" fontId="0" fillId="6" borderId="0" xfId="0" applyNumberFormat="1" applyFill="1"/>
    <xf numFmtId="17" fontId="0" fillId="0" borderId="0" xfId="0" applyNumberFormat="1"/>
    <xf numFmtId="3" fontId="0" fillId="0" borderId="0" xfId="0" applyNumberFormat="1"/>
    <xf numFmtId="0" fontId="1" fillId="6" borderId="0" xfId="0" applyFont="1" applyFill="1" applyAlignment="1">
      <alignment vertical="top"/>
    </xf>
    <xf numFmtId="0" fontId="1" fillId="6" borderId="1" xfId="0" applyFont="1" applyFill="1" applyBorder="1"/>
    <xf numFmtId="167" fontId="1" fillId="6" borderId="1" xfId="0" applyNumberFormat="1" applyFont="1" applyFill="1" applyBorder="1"/>
    <xf numFmtId="0" fontId="2" fillId="9" borderId="0" xfId="0" applyFont="1" applyFill="1"/>
    <xf numFmtId="0" fontId="0" fillId="9" borderId="0" xfId="0" applyFill="1"/>
    <xf numFmtId="17" fontId="2" fillId="9" borderId="0" xfId="0" applyNumberFormat="1" applyFont="1" applyFill="1"/>
    <xf numFmtId="10" fontId="0" fillId="9" borderId="0" xfId="0" applyNumberFormat="1" applyFill="1"/>
    <xf numFmtId="0" fontId="0" fillId="9" borderId="2" xfId="0" applyFill="1" applyBorder="1"/>
    <xf numFmtId="10" fontId="0" fillId="9" borderId="2" xfId="0" applyNumberFormat="1" applyFill="1" applyBorder="1" applyAlignment="1">
      <alignment horizontal="center"/>
    </xf>
    <xf numFmtId="10" fontId="0" fillId="9" borderId="2" xfId="0" applyNumberFormat="1" applyFill="1" applyBorder="1"/>
    <xf numFmtId="0" fontId="0" fillId="9" borderId="3" xfId="0" applyFill="1" applyBorder="1"/>
    <xf numFmtId="10" fontId="0" fillId="9" borderId="3" xfId="0" applyNumberFormat="1" applyFill="1" applyBorder="1"/>
    <xf numFmtId="168" fontId="0" fillId="9" borderId="3" xfId="0" applyNumberFormat="1" applyFill="1" applyBorder="1"/>
    <xf numFmtId="0" fontId="0" fillId="9" borderId="4" xfId="0" applyFill="1" applyBorder="1"/>
    <xf numFmtId="168" fontId="0" fillId="9" borderId="4" xfId="0" applyNumberFormat="1" applyFill="1" applyBorder="1"/>
    <xf numFmtId="168" fontId="0" fillId="9" borderId="0" xfId="0" applyNumberFormat="1" applyFill="1"/>
    <xf numFmtId="0" fontId="0" fillId="9" borderId="5" xfId="0" applyFill="1" applyBorder="1"/>
    <xf numFmtId="168" fontId="0" fillId="9" borderId="5" xfId="0" applyNumberFormat="1" applyFill="1" applyBorder="1"/>
    <xf numFmtId="169" fontId="0" fillId="9" borderId="4" xfId="0" applyNumberFormat="1" applyFill="1" applyBorder="1"/>
    <xf numFmtId="169" fontId="0" fillId="9" borderId="0" xfId="0" applyNumberFormat="1" applyFill="1"/>
    <xf numFmtId="169" fontId="0" fillId="9" borderId="5" xfId="0" applyNumberFormat="1" applyFill="1" applyBorder="1"/>
    <xf numFmtId="10" fontId="0" fillId="9" borderId="4" xfId="0" applyNumberFormat="1" applyFill="1" applyBorder="1"/>
    <xf numFmtId="10" fontId="0" fillId="9" borderId="5" xfId="0" applyNumberFormat="1" applyFill="1" applyBorder="1"/>
    <xf numFmtId="170" fontId="0" fillId="9" borderId="5" xfId="0" applyNumberFormat="1" applyFill="1" applyBorder="1"/>
    <xf numFmtId="170" fontId="0" fillId="9" borderId="4" xfId="0" applyNumberFormat="1" applyFill="1" applyBorder="1"/>
    <xf numFmtId="170" fontId="0" fillId="9" borderId="0" xfId="0" applyNumberFormat="1" applyFill="1"/>
    <xf numFmtId="10" fontId="0" fillId="9" borderId="0" xfId="0" applyNumberFormat="1" applyFill="1" applyAlignment="1">
      <alignment horizontal="center"/>
    </xf>
    <xf numFmtId="10" fontId="0" fillId="9" borderId="3" xfId="0" applyNumberFormat="1" applyFill="1" applyBorder="1" applyAlignment="1">
      <alignment horizontal="center"/>
    </xf>
    <xf numFmtId="10" fontId="1" fillId="9" borderId="2" xfId="0" applyNumberFormat="1" applyFont="1" applyFill="1" applyBorder="1"/>
    <xf numFmtId="0" fontId="1" fillId="9" borderId="4" xfId="0" applyFont="1" applyFill="1" applyBorder="1"/>
    <xf numFmtId="0" fontId="1" fillId="6" borderId="1" xfId="0" applyFont="1" applyFill="1" applyBorder="1" applyAlignment="1">
      <alignment vertical="top"/>
    </xf>
    <xf numFmtId="17" fontId="2" fillId="7" borderId="0" xfId="0" applyNumberFormat="1" applyFont="1" applyFill="1" applyAlignment="1">
      <alignment horizontal="center"/>
    </xf>
    <xf numFmtId="0" fontId="1" fillId="9" borderId="1" xfId="0" applyFont="1" applyFill="1" applyBorder="1"/>
    <xf numFmtId="0" fontId="0" fillId="6" borderId="0" xfId="0" applyFill="1" applyAlignment="1">
      <alignment horizontal="center"/>
    </xf>
    <xf numFmtId="10" fontId="0" fillId="9" borderId="1" xfId="0" applyNumberFormat="1" applyFill="1" applyBorder="1"/>
    <xf numFmtId="0" fontId="0" fillId="9" borderId="0" xfId="0" applyFill="1" applyAlignment="1">
      <alignment horizontal="center"/>
    </xf>
    <xf numFmtId="0" fontId="13" fillId="9" borderId="0" xfId="0" applyFont="1" applyFill="1" applyAlignment="1">
      <alignment horizontal="center"/>
    </xf>
    <xf numFmtId="0" fontId="0" fillId="10" borderId="0" xfId="0" applyFill="1"/>
    <xf numFmtId="0" fontId="14" fillId="10" borderId="0" xfId="0" applyFont="1" applyFill="1"/>
    <xf numFmtId="0" fontId="15" fillId="0" borderId="0" xfId="0" applyFont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/>
    <xf numFmtId="10" fontId="0" fillId="11" borderId="0" xfId="0" applyNumberFormat="1" applyFill="1"/>
    <xf numFmtId="2" fontId="0" fillId="11" borderId="0" xfId="0" applyNumberFormat="1" applyFill="1"/>
    <xf numFmtId="10" fontId="0" fillId="0" borderId="6" xfId="0" applyNumberFormat="1" applyBorder="1"/>
    <xf numFmtId="10" fontId="0" fillId="0" borderId="7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1" fillId="0" borderId="7" xfId="0" applyFont="1" applyBorder="1"/>
    <xf numFmtId="10" fontId="17" fillId="0" borderId="0" xfId="0" applyNumberFormat="1" applyFont="1"/>
    <xf numFmtId="0" fontId="0" fillId="0" borderId="0" xfId="0" applyAlignment="1">
      <alignment horizontal="center"/>
    </xf>
    <xf numFmtId="10" fontId="0" fillId="0" borderId="0" xfId="6" applyNumberFormat="1" applyFont="1"/>
    <xf numFmtId="2" fontId="0" fillId="0" borderId="0" xfId="0" applyNumberFormat="1"/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72" fontId="1" fillId="11" borderId="0" xfId="0" applyNumberFormat="1" applyFont="1" applyFill="1"/>
    <xf numFmtId="0" fontId="1" fillId="0" borderId="8" xfId="0" applyFont="1" applyBorder="1"/>
    <xf numFmtId="10" fontId="17" fillId="0" borderId="7" xfId="0" applyNumberFormat="1" applyFont="1" applyBorder="1"/>
    <xf numFmtId="172" fontId="0" fillId="0" borderId="0" xfId="0" applyNumberFormat="1"/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73" fontId="1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2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15" fillId="0" borderId="9" xfId="0" applyFont="1" applyBorder="1" applyAlignment="1">
      <alignment horizontal="centerContinuous"/>
    </xf>
    <xf numFmtId="0" fontId="0" fillId="0" borderId="10" xfId="0" applyBorder="1"/>
    <xf numFmtId="0" fontId="15" fillId="0" borderId="9" xfId="0" applyFont="1" applyBorder="1" applyAlignment="1">
      <alignment horizontal="center"/>
    </xf>
    <xf numFmtId="169" fontId="0" fillId="0" borderId="0" xfId="0" applyNumberFormat="1"/>
    <xf numFmtId="168" fontId="0" fillId="0" borderId="0" xfId="0" applyNumberFormat="1"/>
    <xf numFmtId="10" fontId="0" fillId="0" borderId="0" xfId="0" applyNumberFormat="1" applyAlignment="1">
      <alignment horizontal="right"/>
    </xf>
    <xf numFmtId="0" fontId="1" fillId="9" borderId="2" xfId="0" applyFont="1" applyFill="1" applyBorder="1"/>
    <xf numFmtId="0" fontId="1" fillId="9" borderId="0" xfId="0" applyFont="1" applyFill="1"/>
    <xf numFmtId="0" fontId="1" fillId="9" borderId="3" xfId="0" applyFont="1" applyFill="1" applyBorder="1"/>
    <xf numFmtId="0" fontId="1" fillId="9" borderId="5" xfId="0" applyFont="1" applyFill="1" applyBorder="1"/>
    <xf numFmtId="0" fontId="19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9" fontId="20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center"/>
    </xf>
    <xf numFmtId="43" fontId="20" fillId="0" borderId="0" xfId="0" applyNumberFormat="1" applyFont="1" applyAlignment="1">
      <alignment horizontal="center"/>
    </xf>
    <xf numFmtId="0" fontId="20" fillId="13" borderId="0" xfId="0" applyFont="1" applyFill="1" applyAlignment="1">
      <alignment horizontal="center"/>
    </xf>
    <xf numFmtId="43" fontId="20" fillId="13" borderId="0" xfId="0" applyNumberFormat="1" applyFont="1" applyFill="1" applyAlignment="1">
      <alignment horizontal="center"/>
    </xf>
    <xf numFmtId="0" fontId="20" fillId="12" borderId="0" xfId="0" applyFont="1" applyFill="1" applyAlignment="1">
      <alignment horizontal="center"/>
    </xf>
    <xf numFmtId="43" fontId="20" fillId="12" borderId="0" xfId="0" applyNumberFormat="1" applyFont="1" applyFill="1" applyAlignment="1">
      <alignment horizontal="center"/>
    </xf>
    <xf numFmtId="10" fontId="19" fillId="7" borderId="0" xfId="0" applyNumberFormat="1" applyFont="1" applyFill="1" applyAlignment="1">
      <alignment horizontal="center"/>
    </xf>
    <xf numFmtId="9" fontId="19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20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2" fontId="21" fillId="14" borderId="0" xfId="0" applyNumberFormat="1" applyFont="1" applyFill="1" applyAlignment="1">
      <alignment horizontal="center"/>
    </xf>
    <xf numFmtId="10" fontId="21" fillId="14" borderId="0" xfId="0" applyNumberFormat="1" applyFont="1" applyFill="1" applyAlignment="1">
      <alignment horizontal="center"/>
    </xf>
    <xf numFmtId="1" fontId="21" fillId="14" borderId="0" xfId="0" applyNumberFormat="1" applyFont="1" applyFill="1" applyAlignment="1">
      <alignment horizontal="center"/>
    </xf>
    <xf numFmtId="171" fontId="0" fillId="9" borderId="0" xfId="0" applyNumberFormat="1" applyFill="1" applyAlignment="1">
      <alignment horizontal="center"/>
    </xf>
    <xf numFmtId="10" fontId="13" fillId="9" borderId="0" xfId="0" applyNumberFormat="1" applyFont="1" applyFill="1" applyAlignment="1">
      <alignment horizontal="center"/>
    </xf>
    <xf numFmtId="43" fontId="0" fillId="9" borderId="0" xfId="0" applyNumberFormat="1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2" fillId="9" borderId="0" xfId="0" applyFont="1" applyFill="1" applyAlignment="1">
      <alignment horizontal="center"/>
    </xf>
    <xf numFmtId="10" fontId="0" fillId="9" borderId="0" xfId="6" applyNumberFormat="1" applyFont="1" applyFill="1"/>
    <xf numFmtId="10" fontId="0" fillId="0" borderId="0" xfId="0" applyNumberFormat="1" applyAlignment="1">
      <alignment horizontal="right" vertical="center"/>
    </xf>
    <xf numFmtId="10" fontId="18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0" fontId="2" fillId="6" borderId="0" xfId="0" applyFont="1" applyFill="1" applyAlignment="1">
      <alignment horizontal="center"/>
    </xf>
    <xf numFmtId="43" fontId="0" fillId="6" borderId="0" xfId="0" applyNumberFormat="1" applyFill="1" applyAlignment="1">
      <alignment horizontal="center"/>
    </xf>
    <xf numFmtId="0" fontId="1" fillId="14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right" vertical="center"/>
    </xf>
    <xf numFmtId="0" fontId="2" fillId="7" borderId="0" xfId="0" applyFont="1" applyFill="1" applyAlignment="1">
      <alignment horizontal="right" vertical="center" wrapText="1"/>
    </xf>
    <xf numFmtId="174" fontId="2" fillId="7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19" fillId="7" borderId="0" xfId="0" applyFont="1" applyFill="1" applyAlignment="1">
      <alignment horizontal="center"/>
    </xf>
  </cellXfs>
  <cellStyles count="8">
    <cellStyle name="60% - Accent1" xfId="3" builtinId="32"/>
    <cellStyle name="60% - Accent3" xfId="4" builtinId="40"/>
    <cellStyle name="Accent6" xfId="5" builtinId="49"/>
    <cellStyle name="Comma" xfId="1" builtinId="3"/>
    <cellStyle name="Comma 2" xfId="7" xr:uid="{4A09A82E-13E0-4078-9BA1-9E0EC44A5075}"/>
    <cellStyle name="Hyperlink" xfId="2" builtinId="8"/>
    <cellStyle name="Normal" xfId="0" builtinId="0"/>
    <cellStyle name="Percent" xfId="6" builtinId="5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FFC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66FF99"/>
      <color rgb="FF99FF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none" strike="noStrike" cap="none" baseline="0"/>
              <a:t>Escorts Kubota- 5Y Beta Regression (May 2020 – May 2025)</a:t>
            </a:r>
            <a:endParaRPr lang="en-IN" i="1"/>
          </a:p>
        </c:rich>
      </c:tx>
      <c:layout>
        <c:manualLayout>
          <c:xMode val="edge"/>
          <c:yMode val="edge"/>
          <c:x val="0.14676460681253597"/>
          <c:y val="9.11649735079212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6134541776027994"/>
          <c:y val="0.30087071027384377"/>
          <c:w val="0.5815633202099737"/>
          <c:h val="0.53390717798500442"/>
        </c:manualLayout>
      </c:layout>
      <c:scatterChart>
        <c:scatterStyle val="lineMarker"/>
        <c:varyColors val="0"/>
        <c:ser>
          <c:idx val="1"/>
          <c:order val="1"/>
          <c:tx>
            <c:v>Regression line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BETA!$D$3:$D$62</c:f>
              <c:numCache>
                <c:formatCode>0.0000</c:formatCode>
                <c:ptCount val="60"/>
                <c:pt idx="0">
                  <c:v>7.5342108284709372E-2</c:v>
                </c:pt>
                <c:pt idx="1">
                  <c:v>7.4873084128478692E-2</c:v>
                </c:pt>
                <c:pt idx="2">
                  <c:v>2.8360628349791552E-2</c:v>
                </c:pt>
                <c:pt idx="3">
                  <c:v>-1.2289791437980306E-2</c:v>
                </c:pt>
                <c:pt idx="4">
                  <c:v>3.5105422958777721E-2</c:v>
                </c:pt>
                <c:pt idx="5">
                  <c:v>0.11394128358414082</c:v>
                </c:pt>
                <c:pt idx="6">
                  <c:v>7.8094217342190325E-2</c:v>
                </c:pt>
                <c:pt idx="7">
                  <c:v>-2.4828794678777667E-2</c:v>
                </c:pt>
                <c:pt idx="8">
                  <c:v>6.5608818740557059E-2</c:v>
                </c:pt>
                <c:pt idx="9">
                  <c:v>1.1119026233468655E-2</c:v>
                </c:pt>
                <c:pt idx="10">
                  <c:v>-4.056988434860174E-3</c:v>
                </c:pt>
                <c:pt idx="11">
                  <c:v>6.5046373820150147E-2</c:v>
                </c:pt>
                <c:pt idx="12">
                  <c:v>8.9008393870165011E-3</c:v>
                </c:pt>
                <c:pt idx="13">
                  <c:v>2.6428775880163644E-3</c:v>
                </c:pt>
                <c:pt idx="14">
                  <c:v>8.6858190515160555E-2</c:v>
                </c:pt>
                <c:pt idx="15">
                  <c:v>2.8364716732235246E-2</c:v>
                </c:pt>
                <c:pt idx="16">
                  <c:v>3.0366411910444624E-3</c:v>
                </c:pt>
                <c:pt idx="17">
                  <c:v>-3.8957878862471852E-2</c:v>
                </c:pt>
                <c:pt idx="18">
                  <c:v>2.1836285270149237E-2</c:v>
                </c:pt>
                <c:pt idx="19">
                  <c:v>-8.1825279977876795E-4</c:v>
                </c:pt>
                <c:pt idx="20">
                  <c:v>-3.1485278131010194E-2</c:v>
                </c:pt>
                <c:pt idx="21">
                  <c:v>3.9946051840251427E-2</c:v>
                </c:pt>
                <c:pt idx="22">
                  <c:v>-2.0738916961307818E-2</c:v>
                </c:pt>
                <c:pt idx="23">
                  <c:v>-3.0287881046978375E-2</c:v>
                </c:pt>
                <c:pt idx="24">
                  <c:v>-4.849694444528186E-2</c:v>
                </c:pt>
                <c:pt idx="25">
                  <c:v>8.7324345305049039E-2</c:v>
                </c:pt>
                <c:pt idx="26">
                  <c:v>3.5029796162195988E-2</c:v>
                </c:pt>
                <c:pt idx="27">
                  <c:v>-3.7442354146841418E-2</c:v>
                </c:pt>
                <c:pt idx="28">
                  <c:v>5.3693179325332768E-2</c:v>
                </c:pt>
                <c:pt idx="29">
                  <c:v>4.1424701035964392E-2</c:v>
                </c:pt>
                <c:pt idx="30">
                  <c:v>-3.4813829574562756E-2</c:v>
                </c:pt>
                <c:pt idx="31">
                  <c:v>-2.4476258333195132E-2</c:v>
                </c:pt>
                <c:pt idx="32">
                  <c:v>-2.0280656658447624E-2</c:v>
                </c:pt>
                <c:pt idx="33">
                  <c:v>3.2246972512056074E-3</c:v>
                </c:pt>
                <c:pt idx="34">
                  <c:v>4.0625585045867593E-2</c:v>
                </c:pt>
                <c:pt idx="35">
                  <c:v>2.5983946858566368E-2</c:v>
                </c:pt>
                <c:pt idx="36">
                  <c:v>3.5320808874309273E-2</c:v>
                </c:pt>
                <c:pt idx="37">
                  <c:v>2.9430847280089427E-2</c:v>
                </c:pt>
                <c:pt idx="38">
                  <c:v>-2.5311585618969516E-2</c:v>
                </c:pt>
                <c:pt idx="39">
                  <c:v>1.9970083827608058E-2</c:v>
                </c:pt>
                <c:pt idx="40">
                  <c:v>-2.8449509377084611E-2</c:v>
                </c:pt>
                <c:pt idx="41">
                  <c:v>5.5218662865049742E-2</c:v>
                </c:pt>
                <c:pt idx="42">
                  <c:v>7.9384001013254255E-2</c:v>
                </c:pt>
                <c:pt idx="43">
                  <c:v>-2.6229327148737439E-4</c:v>
                </c:pt>
                <c:pt idx="44">
                  <c:v>1.1833910990209685E-2</c:v>
                </c:pt>
                <c:pt idx="45">
                  <c:v>1.5653147005841032E-2</c:v>
                </c:pt>
                <c:pt idx="46">
                  <c:v>1.2449108474530592E-2</c:v>
                </c:pt>
                <c:pt idx="47">
                  <c:v>-3.2802694996869179E-3</c:v>
                </c:pt>
                <c:pt idx="48">
                  <c:v>6.5683711558007424E-2</c:v>
                </c:pt>
                <c:pt idx="49">
                  <c:v>3.9172282242009901E-2</c:v>
                </c:pt>
                <c:pt idx="50">
                  <c:v>1.1412299633483827E-2</c:v>
                </c:pt>
                <c:pt idx="51">
                  <c:v>2.2783019428670944E-2</c:v>
                </c:pt>
                <c:pt idx="52">
                  <c:v>-6.2202523357425273E-2</c:v>
                </c:pt>
                <c:pt idx="53">
                  <c:v>-3.0675036717089407E-3</c:v>
                </c:pt>
                <c:pt idx="54">
                  <c:v>-2.0152417419844072E-2</c:v>
                </c:pt>
                <c:pt idx="55">
                  <c:v>-5.7687102449586304E-3</c:v>
                </c:pt>
                <c:pt idx="56">
                  <c:v>-5.8859811811948097E-2</c:v>
                </c:pt>
                <c:pt idx="57">
                  <c:v>6.3035882972424379E-2</c:v>
                </c:pt>
                <c:pt idx="58">
                  <c:v>3.4645940470293707E-2</c:v>
                </c:pt>
                <c:pt idx="59">
                  <c:v>1.7115828751304747E-2</c:v>
                </c:pt>
              </c:numCache>
            </c:numRef>
          </c:xVal>
          <c:yVal>
            <c:numRef>
              <c:f>[1]Sheet1!$B$25:$B$84</c:f>
              <c:numCache>
                <c:formatCode>General</c:formatCode>
                <c:ptCount val="60"/>
                <c:pt idx="0">
                  <c:v>7.7394945928607795E-2</c:v>
                </c:pt>
                <c:pt idx="1">
                  <c:v>7.6988472066279956E-2</c:v>
                </c:pt>
                <c:pt idx="2">
                  <c:v>3.6679039608355245E-2</c:v>
                </c:pt>
                <c:pt idx="3">
                  <c:v>1.4498666182610493E-3</c:v>
                </c:pt>
                <c:pt idx="4">
                  <c:v>4.2524330685376435E-2</c:v>
                </c:pt>
                <c:pt idx="5">
                  <c:v>0.11084643378526435</c:v>
                </c:pt>
                <c:pt idx="6">
                  <c:v>7.9780026490623698E-2</c:v>
                </c:pt>
                <c:pt idx="7">
                  <c:v>-9.4169022023227519E-3</c:v>
                </c:pt>
                <c:pt idx="8">
                  <c:v>6.8959713453671231E-2</c:v>
                </c:pt>
                <c:pt idx="9">
                  <c:v>2.1736822855035788E-2</c:v>
                </c:pt>
                <c:pt idx="10">
                  <c:v>8.584721380020045E-3</c:v>
                </c:pt>
                <c:pt idx="11">
                  <c:v>6.8472277665754103E-2</c:v>
                </c:pt>
                <c:pt idx="12">
                  <c:v>1.9814459235029055E-2</c:v>
                </c:pt>
                <c:pt idx="13">
                  <c:v>1.439107566523146E-2</c:v>
                </c:pt>
                <c:pt idx="14">
                  <c:v>8.7375213172656147E-2</c:v>
                </c:pt>
                <c:pt idx="15">
                  <c:v>3.6682582753373445E-2</c:v>
                </c:pt>
                <c:pt idx="16">
                  <c:v>1.4732325919489657E-2</c:v>
                </c:pt>
                <c:pt idx="17">
                  <c:v>-2.1661694593094007E-2</c:v>
                </c:pt>
                <c:pt idx="18">
                  <c:v>3.1024800065456756E-2</c:v>
                </c:pt>
                <c:pt idx="19">
                  <c:v>1.1391530720566818E-2</c:v>
                </c:pt>
                <c:pt idx="20">
                  <c:v>-1.5185659530505135E-2</c:v>
                </c:pt>
                <c:pt idx="21">
                  <c:v>4.671940057977348E-2</c:v>
                </c:pt>
                <c:pt idx="22">
                  <c:v>-5.8724613239921706E-3</c:v>
                </c:pt>
                <c:pt idx="23">
                  <c:v>-1.4147950467931556E-2</c:v>
                </c:pt>
                <c:pt idx="24">
                  <c:v>-2.9928605324524057E-2</c:v>
                </c:pt>
                <c:pt idx="25">
                  <c:v>8.777920033487685E-2</c:v>
                </c:pt>
                <c:pt idx="26">
                  <c:v>4.2458789677107048E-2</c:v>
                </c:pt>
                <c:pt idx="27">
                  <c:v>-2.0348284235797563E-2</c:v>
                </c:pt>
                <c:pt idx="28">
                  <c:v>5.8633175020904649E-2</c:v>
                </c:pt>
                <c:pt idx="29">
                  <c:v>4.8000853233384343E-2</c:v>
                </c:pt>
                <c:pt idx="30">
                  <c:v>-1.8070306607301495E-2</c:v>
                </c:pt>
                <c:pt idx="31">
                  <c:v>-9.111381030126672E-3</c:v>
                </c:pt>
                <c:pt idx="32">
                  <c:v>-5.4753158192657695E-3</c:v>
                </c:pt>
                <c:pt idx="33">
                  <c:v>1.4895302329323571E-2</c:v>
                </c:pt>
                <c:pt idx="34">
                  <c:v>4.7308309451518177E-2</c:v>
                </c:pt>
                <c:pt idx="35">
                  <c:v>3.4619318605869719E-2</c:v>
                </c:pt>
                <c:pt idx="36">
                  <c:v>4.2710992169255467E-2</c:v>
                </c:pt>
                <c:pt idx="37">
                  <c:v>3.7606531329955596E-2</c:v>
                </c:pt>
                <c:pt idx="38">
                  <c:v>-9.8353068741285059E-3</c:v>
                </c:pt>
                <c:pt idx="39">
                  <c:v>2.9407480151003536E-2</c:v>
                </c:pt>
                <c:pt idx="40">
                  <c:v>-1.2554748874518793E-2</c:v>
                </c:pt>
                <c:pt idx="41">
                  <c:v>5.9955216067339223E-2</c:v>
                </c:pt>
                <c:pt idx="42">
                  <c:v>8.0897801222223842E-2</c:v>
                </c:pt>
                <c:pt idx="43">
                  <c:v>1.1873346025302255E-2</c:v>
                </c:pt>
                <c:pt idx="44">
                  <c:v>2.2356368702156092E-2</c:v>
                </c:pt>
                <c:pt idx="45">
                  <c:v>2.5666261367155059E-2</c:v>
                </c:pt>
                <c:pt idx="46">
                  <c:v>2.2889521833448761E-2</c:v>
                </c:pt>
                <c:pt idx="47">
                  <c:v>9.2578550370587265E-3</c:v>
                </c:pt>
                <c:pt idx="48">
                  <c:v>6.9024618368194846E-2</c:v>
                </c:pt>
                <c:pt idx="49">
                  <c:v>4.6048822928343509E-2</c:v>
                </c:pt>
                <c:pt idx="50">
                  <c:v>2.1990984543807213E-2</c:v>
                </c:pt>
                <c:pt idx="51">
                  <c:v>3.1845275268918866E-2</c:v>
                </c:pt>
                <c:pt idx="52">
                  <c:v>-4.1806372219579106E-2</c:v>
                </c:pt>
                <c:pt idx="53">
                  <c:v>9.4422458551449776E-3</c:v>
                </c:pt>
                <c:pt idx="54">
                  <c:v>-5.3641789024892906E-3</c:v>
                </c:pt>
                <c:pt idx="55">
                  <c:v>7.1012792883097054E-3</c:v>
                </c:pt>
                <c:pt idx="56">
                  <c:v>-3.890945346925849E-2</c:v>
                </c:pt>
                <c:pt idx="57">
                  <c:v>6.6729911160332708E-2</c:v>
                </c:pt>
                <c:pt idx="58">
                  <c:v>4.212612598891248E-2</c:v>
                </c:pt>
                <c:pt idx="59">
                  <c:v>2.6933876031638663E-2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0-4BCF-890A-605915D8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127"/>
        <c:axId val="180887967"/>
      </c:scatterChart>
      <c:scatterChart>
        <c:scatterStyle val="lineMarker"/>
        <c:varyColors val="0"/>
        <c:ser>
          <c:idx val="0"/>
          <c:order val="0"/>
          <c:tx>
            <c:v>Actual Monthly returns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BETA!$D$3:$D$62</c:f>
              <c:numCache>
                <c:formatCode>0.0000</c:formatCode>
                <c:ptCount val="60"/>
                <c:pt idx="0">
                  <c:v>7.5342108284709372E-2</c:v>
                </c:pt>
                <c:pt idx="1">
                  <c:v>7.4873084128478692E-2</c:v>
                </c:pt>
                <c:pt idx="2">
                  <c:v>2.8360628349791552E-2</c:v>
                </c:pt>
                <c:pt idx="3">
                  <c:v>-1.2289791437980306E-2</c:v>
                </c:pt>
                <c:pt idx="4">
                  <c:v>3.5105422958777721E-2</c:v>
                </c:pt>
                <c:pt idx="5">
                  <c:v>0.11394128358414082</c:v>
                </c:pt>
                <c:pt idx="6">
                  <c:v>7.8094217342190325E-2</c:v>
                </c:pt>
                <c:pt idx="7">
                  <c:v>-2.4828794678777667E-2</c:v>
                </c:pt>
                <c:pt idx="8">
                  <c:v>6.5608818740557059E-2</c:v>
                </c:pt>
                <c:pt idx="9">
                  <c:v>1.1119026233468655E-2</c:v>
                </c:pt>
                <c:pt idx="10">
                  <c:v>-4.056988434860174E-3</c:v>
                </c:pt>
                <c:pt idx="11">
                  <c:v>6.5046373820150147E-2</c:v>
                </c:pt>
                <c:pt idx="12">
                  <c:v>8.9008393870165011E-3</c:v>
                </c:pt>
                <c:pt idx="13">
                  <c:v>2.6428775880163644E-3</c:v>
                </c:pt>
                <c:pt idx="14">
                  <c:v>8.6858190515160555E-2</c:v>
                </c:pt>
                <c:pt idx="15">
                  <c:v>2.8364716732235246E-2</c:v>
                </c:pt>
                <c:pt idx="16">
                  <c:v>3.0366411910444624E-3</c:v>
                </c:pt>
                <c:pt idx="17">
                  <c:v>-3.8957878862471852E-2</c:v>
                </c:pt>
                <c:pt idx="18">
                  <c:v>2.1836285270149237E-2</c:v>
                </c:pt>
                <c:pt idx="19">
                  <c:v>-8.1825279977876795E-4</c:v>
                </c:pt>
                <c:pt idx="20">
                  <c:v>-3.1485278131010194E-2</c:v>
                </c:pt>
                <c:pt idx="21">
                  <c:v>3.9946051840251427E-2</c:v>
                </c:pt>
                <c:pt idx="22">
                  <c:v>-2.0738916961307818E-2</c:v>
                </c:pt>
                <c:pt idx="23">
                  <c:v>-3.0287881046978375E-2</c:v>
                </c:pt>
                <c:pt idx="24">
                  <c:v>-4.849694444528186E-2</c:v>
                </c:pt>
                <c:pt idx="25">
                  <c:v>8.7324345305049039E-2</c:v>
                </c:pt>
                <c:pt idx="26">
                  <c:v>3.5029796162195988E-2</c:v>
                </c:pt>
                <c:pt idx="27">
                  <c:v>-3.7442354146841418E-2</c:v>
                </c:pt>
                <c:pt idx="28">
                  <c:v>5.3693179325332768E-2</c:v>
                </c:pt>
                <c:pt idx="29">
                  <c:v>4.1424701035964392E-2</c:v>
                </c:pt>
                <c:pt idx="30">
                  <c:v>-3.4813829574562756E-2</c:v>
                </c:pt>
                <c:pt idx="31">
                  <c:v>-2.4476258333195132E-2</c:v>
                </c:pt>
                <c:pt idx="32">
                  <c:v>-2.0280656658447624E-2</c:v>
                </c:pt>
                <c:pt idx="33">
                  <c:v>3.2246972512056074E-3</c:v>
                </c:pt>
                <c:pt idx="34">
                  <c:v>4.0625585045867593E-2</c:v>
                </c:pt>
                <c:pt idx="35">
                  <c:v>2.5983946858566368E-2</c:v>
                </c:pt>
                <c:pt idx="36">
                  <c:v>3.5320808874309273E-2</c:v>
                </c:pt>
                <c:pt idx="37">
                  <c:v>2.9430847280089427E-2</c:v>
                </c:pt>
                <c:pt idx="38">
                  <c:v>-2.5311585618969516E-2</c:v>
                </c:pt>
                <c:pt idx="39">
                  <c:v>1.9970083827608058E-2</c:v>
                </c:pt>
                <c:pt idx="40">
                  <c:v>-2.8449509377084611E-2</c:v>
                </c:pt>
                <c:pt idx="41">
                  <c:v>5.5218662865049742E-2</c:v>
                </c:pt>
                <c:pt idx="42">
                  <c:v>7.9384001013254255E-2</c:v>
                </c:pt>
                <c:pt idx="43">
                  <c:v>-2.6229327148737439E-4</c:v>
                </c:pt>
                <c:pt idx="44">
                  <c:v>1.1833910990209685E-2</c:v>
                </c:pt>
                <c:pt idx="45">
                  <c:v>1.5653147005841032E-2</c:v>
                </c:pt>
                <c:pt idx="46">
                  <c:v>1.2449108474530592E-2</c:v>
                </c:pt>
                <c:pt idx="47">
                  <c:v>-3.2802694996869179E-3</c:v>
                </c:pt>
                <c:pt idx="48">
                  <c:v>6.5683711558007424E-2</c:v>
                </c:pt>
                <c:pt idx="49">
                  <c:v>3.9172282242009901E-2</c:v>
                </c:pt>
                <c:pt idx="50">
                  <c:v>1.1412299633483827E-2</c:v>
                </c:pt>
                <c:pt idx="51">
                  <c:v>2.2783019428670944E-2</c:v>
                </c:pt>
                <c:pt idx="52">
                  <c:v>-6.2202523357425273E-2</c:v>
                </c:pt>
                <c:pt idx="53">
                  <c:v>-3.0675036717089407E-3</c:v>
                </c:pt>
                <c:pt idx="54">
                  <c:v>-2.0152417419844072E-2</c:v>
                </c:pt>
                <c:pt idx="55">
                  <c:v>-5.7687102449586304E-3</c:v>
                </c:pt>
                <c:pt idx="56">
                  <c:v>-5.8859811811948097E-2</c:v>
                </c:pt>
                <c:pt idx="57">
                  <c:v>6.3035882972424379E-2</c:v>
                </c:pt>
                <c:pt idx="58">
                  <c:v>3.4645940470293707E-2</c:v>
                </c:pt>
                <c:pt idx="59">
                  <c:v>1.7115828751304747E-2</c:v>
                </c:pt>
              </c:numCache>
            </c:numRef>
          </c:xVal>
          <c:yVal>
            <c:numRef>
              <c:f>BETA!$E$3:$E$62</c:f>
              <c:numCache>
                <c:formatCode>0.0000</c:formatCode>
                <c:ptCount val="60"/>
                <c:pt idx="0">
                  <c:v>0.15139344989793194</c:v>
                </c:pt>
                <c:pt idx="1">
                  <c:v>9.0391397352142161E-2</c:v>
                </c:pt>
                <c:pt idx="2">
                  <c:v>-4.0923269973401351E-2</c:v>
                </c:pt>
                <c:pt idx="3">
                  <c:v>0.21225997862381613</c:v>
                </c:pt>
                <c:pt idx="4">
                  <c:v>-8.9116737225334225E-2</c:v>
                </c:pt>
                <c:pt idx="5">
                  <c:v>0.16894462801642135</c:v>
                </c:pt>
                <c:pt idx="6">
                  <c:v>-0.10218358067256289</c:v>
                </c:pt>
                <c:pt idx="7">
                  <c:v>-4.3394606284187703E-2</c:v>
                </c:pt>
                <c:pt idx="8">
                  <c:v>8.7252115227979196E-2</c:v>
                </c:pt>
                <c:pt idx="9">
                  <c:v>-1.7627813111546119E-2</c:v>
                </c:pt>
                <c:pt idx="10">
                  <c:v>-0.13138277176873389</c:v>
                </c:pt>
                <c:pt idx="11">
                  <c:v>4.7560604160320999E-2</c:v>
                </c:pt>
                <c:pt idx="12">
                  <c:v>4.1219480908196902E-2</c:v>
                </c:pt>
                <c:pt idx="13">
                  <c:v>-2.7267874009280973E-2</c:v>
                </c:pt>
                <c:pt idx="14">
                  <c:v>0.13678388989741208</c:v>
                </c:pt>
                <c:pt idx="15">
                  <c:v>9.9342667211349212E-2</c:v>
                </c:pt>
                <c:pt idx="16">
                  <c:v>6.0333761232349292E-2</c:v>
                </c:pt>
                <c:pt idx="17">
                  <c:v>0.17643685484898677</c:v>
                </c:pt>
                <c:pt idx="18">
                  <c:v>3.3797324378486752E-2</c:v>
                </c:pt>
                <c:pt idx="19">
                  <c:v>-3.0570545397390965E-2</c:v>
                </c:pt>
                <c:pt idx="20">
                  <c:v>3.2426297727464345E-4</c:v>
                </c:pt>
                <c:pt idx="21">
                  <c:v>-8.6496123612199216E-2</c:v>
                </c:pt>
                <c:pt idx="22">
                  <c:v>-3.3119436969571522E-2</c:v>
                </c:pt>
                <c:pt idx="23">
                  <c:v>-2.9972168700491569E-3</c:v>
                </c:pt>
                <c:pt idx="24">
                  <c:v>-0.1135924414859352</c:v>
                </c:pt>
                <c:pt idx="25">
                  <c:v>0.19947397563676636</c:v>
                </c:pt>
                <c:pt idx="26">
                  <c:v>0.15103866128101559</c:v>
                </c:pt>
                <c:pt idx="27">
                  <c:v>6.670008773029211E-2</c:v>
                </c:pt>
                <c:pt idx="28">
                  <c:v>-4.2038725444120816E-2</c:v>
                </c:pt>
                <c:pt idx="29">
                  <c:v>0.12174062354355243</c:v>
                </c:pt>
                <c:pt idx="30">
                  <c:v>-6.4006122895254716E-2</c:v>
                </c:pt>
                <c:pt idx="31">
                  <c:v>-2.4180548092423426E-2</c:v>
                </c:pt>
                <c:pt idx="32">
                  <c:v>-6.248802911319757E-3</c:v>
                </c:pt>
                <c:pt idx="33">
                  <c:v>-8.8804298070205012E-2</c:v>
                </c:pt>
                <c:pt idx="34">
                  <c:v>4.7645487956426397E-2</c:v>
                </c:pt>
                <c:pt idx="35">
                  <c:v>9.8503394493097488E-2</c:v>
                </c:pt>
                <c:pt idx="36">
                  <c:v>3.3129623673206772E-2</c:v>
                </c:pt>
                <c:pt idx="37">
                  <c:v>0.12944760718733309</c:v>
                </c:pt>
                <c:pt idx="38">
                  <c:v>0.24406859753096152</c:v>
                </c:pt>
                <c:pt idx="39">
                  <c:v>8.1823217535807267E-3</c:v>
                </c:pt>
                <c:pt idx="40">
                  <c:v>-1.6514395152428467E-2</c:v>
                </c:pt>
                <c:pt idx="41">
                  <c:v>5.6823623304070809E-3</c:v>
                </c:pt>
                <c:pt idx="42">
                  <c:v>-5.3074310383138194E-2</c:v>
                </c:pt>
                <c:pt idx="43">
                  <c:v>1.6761087459354364E-4</c:v>
                </c:pt>
                <c:pt idx="44">
                  <c:v>-4.2616302453412018E-2</c:v>
                </c:pt>
                <c:pt idx="45">
                  <c:v>-2.7709219485725162E-2</c:v>
                </c:pt>
                <c:pt idx="46">
                  <c:v>0.20928599719151691</c:v>
                </c:pt>
                <c:pt idx="47">
                  <c:v>0.13382263179050477</c:v>
                </c:pt>
                <c:pt idx="48">
                  <c:v>8.8891806722689079E-2</c:v>
                </c:pt>
                <c:pt idx="49">
                  <c:v>6.4873990112141898E-3</c:v>
                </c:pt>
                <c:pt idx="50">
                  <c:v>-7.6556285043369809E-2</c:v>
                </c:pt>
                <c:pt idx="51">
                  <c:v>0.10765717844261659</c:v>
                </c:pt>
                <c:pt idx="52">
                  <c:v>-0.12268084707646183</c:v>
                </c:pt>
                <c:pt idx="53">
                  <c:v>-5.1053376411844764E-2</c:v>
                </c:pt>
                <c:pt idx="54">
                  <c:v>-6.2283688342384395E-2</c:v>
                </c:pt>
                <c:pt idx="55">
                  <c:v>8.7290513270618486E-2</c:v>
                </c:pt>
                <c:pt idx="56">
                  <c:v>-0.20822696601305388</c:v>
                </c:pt>
                <c:pt idx="57">
                  <c:v>0.13283605500270146</c:v>
                </c:pt>
                <c:pt idx="58">
                  <c:v>2.7538037876339802E-3</c:v>
                </c:pt>
                <c:pt idx="59">
                  <c:v>1.9239030377416328E-2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80-4BCF-890A-605915D8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11487"/>
        <c:axId val="180899007"/>
      </c:scatterChart>
      <c:valAx>
        <c:axId val="18089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Nifty 50 Monthly Return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53617195670262063"/>
              <c:y val="0.86956542155549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7967"/>
        <c:crosses val="autoZero"/>
        <c:crossBetween val="midCat"/>
      </c:valAx>
      <c:valAx>
        <c:axId val="1808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/>
                  <a:t>Escorts Kubota Monthly Return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7.4487949770401948E-2"/>
              <c:y val="0.2707671496628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127"/>
        <c:crosses val="autoZero"/>
        <c:crossBetween val="midCat"/>
      </c:valAx>
      <c:valAx>
        <c:axId val="180899007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1487"/>
        <c:crosses val="max"/>
        <c:crossBetween val="midCat"/>
      </c:valAx>
      <c:valAx>
        <c:axId val="180911487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18089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9545610843101405"/>
          <c:y val="0.87511395621688493"/>
          <c:w val="0.19122299399944626"/>
          <c:h val="8.386421693234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 Margins — EBITDA % and Net Profit % (FY16–FY25)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 ANALYSIS'!$A$5</c:f>
              <c:strCache>
                <c:ptCount val="1"/>
                <c:pt idx="0">
                  <c:v>EBITDA Margin %</c:v>
                </c:pt>
              </c:strCache>
            </c:strRef>
          </c:tx>
          <c:spPr>
            <a:noFill/>
            <a:ln w="9525" cap="flat" cmpd="sng" algn="ctr">
              <a:solidFill>
                <a:srgbClr val="FF0000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ANALYSIS'!$B$5:$K$5</c:f>
              <c:numCache>
                <c:formatCode>0.00%</c:formatCode>
                <c:ptCount val="10"/>
                <c:pt idx="0">
                  <c:v>4.6896989793093771E-2</c:v>
                </c:pt>
                <c:pt idx="1">
                  <c:v>6.4597993404626269E-2</c:v>
                </c:pt>
                <c:pt idx="2">
                  <c:v>0.10937197341945799</c:v>
                </c:pt>
                <c:pt idx="3">
                  <c:v>0.11538928333029917</c:v>
                </c:pt>
                <c:pt idx="4">
                  <c:v>0.11382267744561625</c:v>
                </c:pt>
                <c:pt idx="5">
                  <c:v>0.16052930962217835</c:v>
                </c:pt>
                <c:pt idx="6">
                  <c:v>0.132652262569257</c:v>
                </c:pt>
                <c:pt idx="7">
                  <c:v>9.1359392740746267E-2</c:v>
                </c:pt>
                <c:pt idx="8">
                  <c:v>0.11530163950144788</c:v>
                </c:pt>
                <c:pt idx="9">
                  <c:v>0.11364736798947257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6-4549-9F81-7232355D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463420287"/>
        <c:axId val="463423647"/>
      </c:barChart>
      <c:lineChart>
        <c:grouping val="standard"/>
        <c:varyColors val="0"/>
        <c:ser>
          <c:idx val="1"/>
          <c:order val="1"/>
          <c:tx>
            <c:strRef>
              <c:f>'TREND ANALYSIS'!$A$6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2225" cap="rnd">
              <a:solidFill>
                <a:srgbClr val="92D050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ANALYSIS'!$B$6:$K$6</c:f>
              <c:numCache>
                <c:formatCode>0.00%</c:formatCode>
                <c:ptCount val="10"/>
                <c:pt idx="0">
                  <c:v>1.1506443783344323E-2</c:v>
                </c:pt>
                <c:pt idx="1">
                  <c:v>2.2893231660687911E-2</c:v>
                </c:pt>
                <c:pt idx="2">
                  <c:v>5.6954069107828409E-2</c:v>
                </c:pt>
                <c:pt idx="3">
                  <c:v>6.0477290075726366E-2</c:v>
                </c:pt>
                <c:pt idx="4">
                  <c:v>6.5978323915808615E-2</c:v>
                </c:pt>
                <c:pt idx="5">
                  <c:v>0.10139826243652365</c:v>
                </c:pt>
                <c:pt idx="6">
                  <c:v>7.7143622170501053E-2</c:v>
                </c:pt>
                <c:pt idx="7">
                  <c:v>4.8497453340910698E-2</c:v>
                </c:pt>
                <c:pt idx="8">
                  <c:v>5.6229401678364703E-2</c:v>
                </c:pt>
                <c:pt idx="9">
                  <c:v>6.4860189693748682E-2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6-4549-9F81-7232355D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39967"/>
        <c:axId val="463439007"/>
      </c:lineChart>
      <c:dateAx>
        <c:axId val="4634202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23647"/>
        <c:crosses val="autoZero"/>
        <c:auto val="1"/>
        <c:lblOffset val="100"/>
        <c:baseTimeUnit val="years"/>
      </c:dateAx>
      <c:valAx>
        <c:axId val="4634236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20287"/>
        <c:crosses val="autoZero"/>
        <c:crossBetween val="between"/>
      </c:valAx>
      <c:valAx>
        <c:axId val="4634390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39967"/>
        <c:crosses val="max"/>
        <c:crossBetween val="between"/>
      </c:valAx>
      <c:dateAx>
        <c:axId val="4634399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3900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Revenue, EBITDA &amp; Net Profit Growth % (FY17–FY25)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'TREND ANALYSIS'!$A$4:$B$4</c:f>
              <c:strCache>
                <c:ptCount val="2"/>
                <c:pt idx="0">
                  <c:v>Net profit Growth %</c:v>
                </c:pt>
                <c:pt idx="1">
                  <c:v>-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ANALYSIS'!$C$2:$K$2</c:f>
              <c:numCache>
                <c:formatCode>mmm\-yy</c:formatCode>
                <c:ptCount val="9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</c:numCache>
            </c:numRef>
          </c:cat>
          <c:val>
            <c:numRef>
              <c:f>'TREND ANALYSIS'!$C$4:$K$4</c:f>
              <c:numCache>
                <c:formatCode>0.00%</c:formatCode>
                <c:ptCount val="9"/>
                <c:pt idx="0">
                  <c:v>2.0363540569020273</c:v>
                </c:pt>
                <c:pt idx="1">
                  <c:v>0.3142807565504051</c:v>
                </c:pt>
                <c:pt idx="2">
                  <c:v>1.2225713606718758E-2</c:v>
                </c:pt>
                <c:pt idx="3">
                  <c:v>0.85540251473887241</c:v>
                </c:pt>
                <c:pt idx="4">
                  <c:v>-0.21010896309314686</c:v>
                </c:pt>
                <c:pt idx="5">
                  <c:v>-0.2724052615652961</c:v>
                </c:pt>
                <c:pt idx="6">
                  <c:v>0.34855786872813233</c:v>
                </c:pt>
                <c:pt idx="7">
                  <c:v>0.20529705215419303</c:v>
                </c:pt>
                <c:pt idx="8">
                  <c:v>5.604888474158165E-2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3-4AA6-BE4A-DE870A415A10}"/>
            </c:ext>
          </c:extLst>
        </c:ser>
        <c:ser>
          <c:idx val="2"/>
          <c:order val="2"/>
          <c:tx>
            <c:strRef>
              <c:f>'TREND ANALYSIS'!$A$14:$B$14</c:f>
              <c:strCache>
                <c:ptCount val="2"/>
                <c:pt idx="0">
                  <c:v>EBITDA Growth%</c:v>
                </c:pt>
                <c:pt idx="1">
                  <c:v>-</c:v>
                </c:pt>
              </c:strCache>
            </c:strRef>
          </c:tx>
          <c:spPr>
            <a:ln w="22225" cap="rnd">
              <a:solidFill>
                <a:srgbClr val="FFFF00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'TREND ANALYSIS'!$C$2:$K$2</c:f>
              <c:numCache>
                <c:formatCode>mmm\-yy</c:formatCode>
                <c:ptCount val="9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</c:numCache>
            </c:numRef>
          </c:cat>
          <c:val>
            <c:numRef>
              <c:f>'TREND ANALYSIS'!$C$14:$K$14</c:f>
              <c:numCache>
                <c:formatCode>0.00%</c:formatCode>
                <c:ptCount val="9"/>
                <c:pt idx="0">
                  <c:v>1.0664351333184023</c:v>
                </c:pt>
                <c:pt idx="1">
                  <c:v>0.30581006596186722</c:v>
                </c:pt>
                <c:pt idx="2">
                  <c:v>-8.4766873797693654E-2</c:v>
                </c:pt>
                <c:pt idx="3">
                  <c:v>0.70268553801487843</c:v>
                </c:pt>
                <c:pt idx="4">
                  <c:v>-0.14205786753343697</c:v>
                </c:pt>
                <c:pt idx="5">
                  <c:v>-0.20290665176075906</c:v>
                </c:pt>
                <c:pt idx="6">
                  <c:v>0.46793673055944951</c:v>
                </c:pt>
                <c:pt idx="7">
                  <c:v>2.991940691985695E-2</c:v>
                </c:pt>
                <c:pt idx="8">
                  <c:v>4.5147269775553722E-2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03-4AA6-BE4A-DE870A41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54367"/>
        <c:axId val="463446207"/>
      </c:lineChart>
      <c:lineChart>
        <c:grouping val="standard"/>
        <c:varyColors val="0"/>
        <c:ser>
          <c:idx val="0"/>
          <c:order val="0"/>
          <c:tx>
            <c:strRef>
              <c:f>'TREND ANALYSIS'!$A$3:$B$3</c:f>
              <c:strCache>
                <c:ptCount val="2"/>
                <c:pt idx="0">
                  <c:v>Sales Growth %</c:v>
                </c:pt>
                <c:pt idx="1">
                  <c:v>-</c:v>
                </c:pt>
              </c:strCache>
            </c:strRef>
          </c:tx>
          <c:spPr>
            <a:ln w="22225" cap="rnd">
              <a:solidFill>
                <a:srgbClr val="92D050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numRef>
              <c:f>'TREND ANALYSIS'!$C$2:$K$2</c:f>
              <c:numCache>
                <c:formatCode>mmm\-yy</c:formatCode>
                <c:ptCount val="9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</c:numCache>
            </c:numRef>
          </c:cat>
          <c:val>
            <c:numRef>
              <c:f>'TREND ANALYSIS'!$C$3:$K$3</c:f>
              <c:numCache>
                <c:formatCode>0.00%</c:formatCode>
                <c:ptCount val="9"/>
                <c:pt idx="0">
                  <c:v>0.20785025597393947</c:v>
                </c:pt>
                <c:pt idx="1">
                  <c:v>0.22049149283651737</c:v>
                </c:pt>
                <c:pt idx="2">
                  <c:v>0.23771480074476115</c:v>
                </c:pt>
                <c:pt idx="3">
                  <c:v>-7.2170002650901788E-2</c:v>
                </c:pt>
                <c:pt idx="4">
                  <c:v>0.20728250336913878</c:v>
                </c:pt>
                <c:pt idx="5">
                  <c:v>3.8239797445833057E-2</c:v>
                </c:pt>
                <c:pt idx="6">
                  <c:v>0.15736579404475037</c:v>
                </c:pt>
                <c:pt idx="7">
                  <c:v>0.16312143405440227</c:v>
                </c:pt>
                <c:pt idx="8">
                  <c:v>4.4911098893364532E-2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3-4AA6-BE4A-DE870A415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82687"/>
        <c:axId val="463482207"/>
      </c:lineChart>
      <c:dateAx>
        <c:axId val="4634543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46207"/>
        <c:crosses val="autoZero"/>
        <c:auto val="1"/>
        <c:lblOffset val="100"/>
        <c:baseTimeUnit val="years"/>
      </c:dateAx>
      <c:valAx>
        <c:axId val="4634462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4367"/>
        <c:crosses val="autoZero"/>
        <c:crossBetween val="between"/>
      </c:valAx>
      <c:valAx>
        <c:axId val="4634822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82687"/>
        <c:crosses val="max"/>
        <c:crossBetween val="between"/>
      </c:valAx>
      <c:dateAx>
        <c:axId val="46348268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8220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ROCE, ROE, and Interest Coverage Trend (FY16–FY25)</a:t>
            </a:r>
          </a:p>
        </c:rich>
      </c:tx>
      <c:layout>
        <c:manualLayout>
          <c:xMode val="edge"/>
          <c:yMode val="edge"/>
          <c:x val="0.1455693350831146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'TREND ANALYSIS'!$A$8</c:f>
              <c:strCache>
                <c:ptCount val="1"/>
                <c:pt idx="0">
                  <c:v>ROE %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  <a:scene3d>
              <a:camera prst="orthographicFront">
                <a:rot lat="0" lon="0" rev="0"/>
              </a:camera>
              <a:lightRig rig="brightRoom" dir="tl">
                <a:rot lat="0" lon="0" rev="1800000"/>
              </a:lightRig>
            </a:scene3d>
            <a:sp3d contourW="10160" prstMaterial="dkEdge">
              <a:bevelT w="38100" h="50800" prst="angle"/>
              <a:contourClr>
                <a:scrgbClr r="0" g="0" b="0">
                  <a:shade val="40000"/>
                  <a:satMod val="150000"/>
                </a:scrgbClr>
              </a:contourClr>
            </a:sp3d>
          </c:spPr>
          <c:invertIfNegative val="0"/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ANALYSIS'!$B$8:$K$8</c:f>
              <c:numCache>
                <c:formatCode>0.00%</c:formatCode>
                <c:ptCount val="10"/>
                <c:pt idx="0">
                  <c:v>2.6928427254377749E-2</c:v>
                </c:pt>
                <c:pt idx="1">
                  <c:v>5.8546636807264608E-2</c:v>
                </c:pt>
                <c:pt idx="2">
                  <c:v>0.13008207156206858</c:v>
                </c:pt>
                <c:pt idx="3">
                  <c:v>0.14165379335624972</c:v>
                </c:pt>
                <c:pt idx="4">
                  <c:v>0.1229678578302433</c:v>
                </c:pt>
                <c:pt idx="5">
                  <c:v>0.14151046630310005</c:v>
                </c:pt>
                <c:pt idx="6">
                  <c:v>7.3923341096593306E-2</c:v>
                </c:pt>
                <c:pt idx="7">
                  <c:v>4.9930924632727997E-2</c:v>
                </c:pt>
                <c:pt idx="8">
                  <c:v>5.8715387212667336E-2</c:v>
                </c:pt>
                <c:pt idx="9">
                  <c:v>6.4091137091484188E-2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A-4940-90E4-39791997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3470687"/>
        <c:axId val="463474047"/>
      </c:barChart>
      <c:lineChart>
        <c:grouping val="stacked"/>
        <c:varyColors val="0"/>
        <c:ser>
          <c:idx val="2"/>
          <c:order val="2"/>
          <c:tx>
            <c:strRef>
              <c:f>'TREND ANALYSIS'!$A$9</c:f>
              <c:strCache>
                <c:ptCount val="1"/>
                <c:pt idx="0">
                  <c:v>Interest coverage ratio %</c:v>
                </c:pt>
              </c:strCache>
            </c:strRef>
          </c:tx>
          <c:spPr>
            <a:ln w="3492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tint val="65000"/>
                </a:schemeClr>
              </a:solidFill>
              <a:ln w="9525">
                <a:solidFill>
                  <a:schemeClr val="accent3">
                    <a:tint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ANALYSIS'!$B$9:$K$9</c:f>
              <c:numCache>
                <c:formatCode>0.00"x"</c:formatCode>
                <c:ptCount val="10"/>
                <c:pt idx="0">
                  <c:v>2.013709361535446</c:v>
                </c:pt>
                <c:pt idx="1">
                  <c:v>6.3446134740763549</c:v>
                </c:pt>
                <c:pt idx="2">
                  <c:v>16.281112241437796</c:v>
                </c:pt>
                <c:pt idx="3">
                  <c:v>32.51586489252815</c:v>
                </c:pt>
                <c:pt idx="4">
                  <c:v>32.159024956471299</c:v>
                </c:pt>
                <c:pt idx="5">
                  <c:v>75.542728635682181</c:v>
                </c:pt>
                <c:pt idx="6">
                  <c:v>55.711422845691352</c:v>
                </c:pt>
                <c:pt idx="7">
                  <c:v>46.720422004521531</c:v>
                </c:pt>
                <c:pt idx="8">
                  <c:v>21.754920787325961</c:v>
                </c:pt>
                <c:pt idx="9">
                  <c:v>31.557764826876866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A-4940-90E4-39791997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62527"/>
        <c:axId val="463464447"/>
      </c:lineChart>
      <c:lineChart>
        <c:grouping val="stacked"/>
        <c:varyColors val="0"/>
        <c:ser>
          <c:idx val="0"/>
          <c:order val="0"/>
          <c:tx>
            <c:strRef>
              <c:f>'TREND ANALYSIS'!$A$7</c:f>
              <c:strCache>
                <c:ptCount val="1"/>
                <c:pt idx="0">
                  <c:v>ROCE %</c:v>
                </c:pt>
              </c:strCache>
            </c:strRef>
          </c:tx>
          <c:spPr>
            <a:ln w="3492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shade val="65000"/>
                </a:schemeClr>
              </a:solidFill>
              <a:ln w="9525">
                <a:solidFill>
                  <a:schemeClr val="accent3">
                    <a:shade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ANALYSIS'!$B$7:$K$7</c:f>
              <c:numCache>
                <c:formatCode>0.00%</c:formatCode>
                <c:ptCount val="10"/>
                <c:pt idx="0">
                  <c:v>5.6044914422762389E-2</c:v>
                </c:pt>
                <c:pt idx="1">
                  <c:v>0.10833563052651636</c:v>
                </c:pt>
                <c:pt idx="2">
                  <c:v>0.21186287358299932</c:v>
                </c:pt>
                <c:pt idx="3">
                  <c:v>0.21505187090659855</c:v>
                </c:pt>
                <c:pt idx="4">
                  <c:v>0.17506721810260134</c:v>
                </c:pt>
                <c:pt idx="5">
                  <c:v>0.19811116746678625</c:v>
                </c:pt>
                <c:pt idx="6">
                  <c:v>0.10899324999836636</c:v>
                </c:pt>
                <c:pt idx="7">
                  <c:v>7.5203693348261422E-2</c:v>
                </c:pt>
                <c:pt idx="8">
                  <c:v>9.213304503317582E-2</c:v>
                </c:pt>
                <c:pt idx="9">
                  <c:v>8.7905057114318244E-2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A-4940-90E4-39791997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70687"/>
        <c:axId val="463474047"/>
      </c:lineChart>
      <c:dateAx>
        <c:axId val="4634625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4447"/>
        <c:crosses val="autoZero"/>
        <c:auto val="1"/>
        <c:lblOffset val="100"/>
        <c:baseTimeUnit val="years"/>
      </c:dateAx>
      <c:valAx>
        <c:axId val="46346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2527"/>
        <c:crosses val="autoZero"/>
        <c:crossBetween val="between"/>
      </c:valAx>
      <c:valAx>
        <c:axId val="46347404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70687"/>
        <c:crosses val="max"/>
        <c:crossBetween val="between"/>
      </c:valAx>
      <c:dateAx>
        <c:axId val="46347068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7404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Working Capital Efficiency and Cash Conversion (FY16–FY25)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ANALYSIS'!$A$10</c:f>
              <c:strCache>
                <c:ptCount val="1"/>
                <c:pt idx="0">
                  <c:v>Debtor days </c:v>
                </c:pt>
              </c:strCache>
            </c:strRef>
          </c:tx>
          <c:spPr>
            <a:ln w="3492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shade val="65000"/>
                </a:schemeClr>
              </a:solidFill>
              <a:ln w="9525">
                <a:solidFill>
                  <a:schemeClr val="accent3">
                    <a:shade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ANALYSIS'!$B$10:$K$10</c:f>
              <c:numCache>
                <c:formatCode>0"days"</c:formatCode>
                <c:ptCount val="10"/>
                <c:pt idx="0">
                  <c:v>39.878918644867852</c:v>
                </c:pt>
                <c:pt idx="1">
                  <c:v>40.190829198157921</c:v>
                </c:pt>
                <c:pt idx="2">
                  <c:v>42.709128068087928</c:v>
                </c:pt>
                <c:pt idx="3">
                  <c:v>54.268949955445684</c:v>
                </c:pt>
                <c:pt idx="4">
                  <c:v>45.976723252135507</c:v>
                </c:pt>
                <c:pt idx="5">
                  <c:v>34.217611719857096</c:v>
                </c:pt>
                <c:pt idx="6">
                  <c:v>39.725415885700954</c:v>
                </c:pt>
                <c:pt idx="7">
                  <c:v>51.084124579264397</c:v>
                </c:pt>
                <c:pt idx="8">
                  <c:v>53.162887268847435</c:v>
                </c:pt>
                <c:pt idx="9">
                  <c:v>47.454831567726288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4-4439-AE1A-375D9AB5143F}"/>
            </c:ext>
          </c:extLst>
        </c:ser>
        <c:ser>
          <c:idx val="1"/>
          <c:order val="1"/>
          <c:tx>
            <c:strRef>
              <c:f>'TREND ANALYSIS'!$A$11</c:f>
              <c:strCache>
                <c:ptCount val="1"/>
                <c:pt idx="0">
                  <c:v>Cash conversion cycle 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ANALYSIS'!$B$11:$K$11</c:f>
              <c:numCache>
                <c:formatCode>0"days"</c:formatCode>
                <c:ptCount val="10"/>
                <c:pt idx="0">
                  <c:v>-32.102439109671053</c:v>
                </c:pt>
                <c:pt idx="1">
                  <c:v>-35.758347345084715</c:v>
                </c:pt>
                <c:pt idx="2">
                  <c:v>-39.57592294647128</c:v>
                </c:pt>
                <c:pt idx="3">
                  <c:v>2.0954500305013397</c:v>
                </c:pt>
                <c:pt idx="4">
                  <c:v>-14.679557459522997</c:v>
                </c:pt>
                <c:pt idx="5">
                  <c:v>-21.630705033345592</c:v>
                </c:pt>
                <c:pt idx="6">
                  <c:v>9.1863332715426367</c:v>
                </c:pt>
                <c:pt idx="7">
                  <c:v>24.099806731532425</c:v>
                </c:pt>
                <c:pt idx="8">
                  <c:v>21.619447569716812</c:v>
                </c:pt>
                <c:pt idx="9">
                  <c:v>3.8524270100782019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4-4439-AE1A-375D9AB51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63007"/>
        <c:axId val="463463487"/>
      </c:lineChart>
      <c:lineChart>
        <c:grouping val="standard"/>
        <c:varyColors val="0"/>
        <c:ser>
          <c:idx val="2"/>
          <c:order val="2"/>
          <c:tx>
            <c:strRef>
              <c:f>'TREND ANALYSIS'!$A$12</c:f>
              <c:strCache>
                <c:ptCount val="1"/>
                <c:pt idx="0">
                  <c:v>CFO/Sales</c:v>
                </c:pt>
              </c:strCache>
            </c:strRef>
          </c:tx>
          <c:spPr>
            <a:ln w="3492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tint val="65000"/>
                </a:schemeClr>
              </a:solidFill>
              <a:ln w="9525">
                <a:solidFill>
                  <a:schemeClr val="accent3">
                    <a:tint val="65000"/>
                  </a:schemeClr>
                </a:solidFill>
                <a:round/>
              </a:ln>
              <a:effectLst/>
              <a:scene3d>
                <a:camera prst="orthographicFront">
                  <a:rot lat="0" lon="0" rev="0"/>
                </a:camera>
                <a:lightRig rig="brightRoom" dir="tl">
                  <a:rot lat="0" lon="0" rev="1800000"/>
                </a:lightRig>
              </a:scene3d>
              <a:sp3d contourW="10160" prstMaterial="dkEdge">
                <a:bevelT w="38100" h="50800" prst="angle"/>
                <a:contourClr>
                  <a:scrgbClr r="0" g="0" b="0">
                    <a:shade val="40000"/>
                    <a:satMod val="150000"/>
                  </a:scrgbClr>
                </a:contourClr>
              </a:sp3d>
            </c:spPr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ANALYSIS'!$B$12:$K$12</c:f>
              <c:numCache>
                <c:formatCode>0.00%</c:formatCode>
                <c:ptCount val="10"/>
                <c:pt idx="0">
                  <c:v>7.2844035093342349E-2</c:v>
                </c:pt>
                <c:pt idx="1">
                  <c:v>9.2875597358955744E-2</c:v>
                </c:pt>
                <c:pt idx="2">
                  <c:v>0.11266291650689615</c:v>
                </c:pt>
                <c:pt idx="3">
                  <c:v>-0.12392167383687691</c:v>
                </c:pt>
                <c:pt idx="4">
                  <c:v>0.22960057417354982</c:v>
                </c:pt>
                <c:pt idx="5">
                  <c:v>0.23280613365039446</c:v>
                </c:pt>
                <c:pt idx="6">
                  <c:v>-4.7647490954528915E-2</c:v>
                </c:pt>
                <c:pt idx="7">
                  <c:v>3.6779143615437273E-3</c:v>
                </c:pt>
                <c:pt idx="8">
                  <c:v>7.1402414829669539E-2</c:v>
                </c:pt>
                <c:pt idx="9">
                  <c:v>0.1675146526511439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4-4439-AE1A-375D9AB51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490367"/>
        <c:axId val="463496607"/>
      </c:lineChart>
      <c:dateAx>
        <c:axId val="4634630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3487"/>
        <c:crosses val="autoZero"/>
        <c:auto val="1"/>
        <c:lblOffset val="100"/>
        <c:baseTimeUnit val="years"/>
      </c:dateAx>
      <c:valAx>
        <c:axId val="46346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&quot;day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63007"/>
        <c:crosses val="autoZero"/>
        <c:crossBetween val="between"/>
      </c:valAx>
      <c:valAx>
        <c:axId val="46349660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90367"/>
        <c:crosses val="max"/>
        <c:crossBetween val="between"/>
      </c:valAx>
      <c:dateAx>
        <c:axId val="463490367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63496607"/>
        <c:crosses val="autoZero"/>
        <c:auto val="1"/>
        <c:lblOffset val="100"/>
        <c:baseTimeUnit val="year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EPS Growth Trend (FY16–FY25)  ₹ Per Share</a:t>
            </a:r>
            <a:endParaRPr lang="en-US"/>
          </a:p>
        </c:rich>
      </c:tx>
      <c:overlay val="0"/>
      <c:spPr>
        <a:noFill/>
        <a:ln>
          <a:solidFill>
            <a:schemeClr val="accent5">
              <a:lumMod val="40000"/>
              <a:lumOff val="6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ANALYSIS'!$A$13</c:f>
              <c:strCache>
                <c:ptCount val="1"/>
                <c:pt idx="0">
                  <c:v>EPS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'TREND ANALYSIS'!$B$2:$K$2</c:f>
              <c:numCache>
                <c:formatCode>mmm\-yy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</c:numCache>
            </c:numRef>
          </c:cat>
          <c:val>
            <c:numRef>
              <c:f>'TREND ANALYSIS'!$B$13:$K$13</c:f>
              <c:numCache>
                <c:formatCode>0.00"x"</c:formatCode>
                <c:ptCount val="10"/>
                <c:pt idx="0">
                  <c:v>3.2210440456769889</c:v>
                </c:pt>
                <c:pt idx="1">
                  <c:v>7.7406199021206694</c:v>
                </c:pt>
                <c:pt idx="2">
                  <c:v>23.503262642740669</c:v>
                </c:pt>
                <c:pt idx="3">
                  <c:v>30.889885807504083</c:v>
                </c:pt>
                <c:pt idx="4">
                  <c:v>31.267536704730873</c:v>
                </c:pt>
                <c:pt idx="5">
                  <c:v>52.763353115727021</c:v>
                </c:pt>
                <c:pt idx="6">
                  <c:v>42.593631539044694</c:v>
                </c:pt>
                <c:pt idx="7">
                  <c:v>30.990902198635379</c:v>
                </c:pt>
                <c:pt idx="8">
                  <c:v>49.886877828054246</c:v>
                </c:pt>
                <c:pt idx="9">
                  <c:v>59.376228775692432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4-400A-A94E-A96CD253D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51967"/>
        <c:axId val="463457727"/>
      </c:lineChart>
      <c:dateAx>
        <c:axId val="463451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7727"/>
        <c:crosses val="autoZero"/>
        <c:auto val="1"/>
        <c:lblOffset val="100"/>
        <c:baseTimeUnit val="years"/>
      </c:dateAx>
      <c:valAx>
        <c:axId val="4634577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&quot;x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40531</xdr:colOff>
      <xdr:row>0</xdr:row>
      <xdr:rowOff>0</xdr:rowOff>
    </xdr:from>
    <xdr:to>
      <xdr:col>14</xdr:col>
      <xdr:colOff>13345</xdr:colOff>
      <xdr:row>9</xdr:row>
      <xdr:rowOff>102814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E5D3F-62B1-4458-BDB7-D2493ACC1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249948</xdr:colOff>
      <xdr:row>5</xdr:row>
      <xdr:rowOff>47288</xdr:rowOff>
    </xdr:from>
    <xdr:to>
      <xdr:col>21</xdr:col>
      <xdr:colOff>520161</xdr:colOff>
      <xdr:row>9</xdr:row>
      <xdr:rowOff>108086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5525C-0BB3-5FB6-B0A4-5AB6F20D9301}"/>
            </a:ext>
          </a:extLst>
        </xdr:cNvPr>
        <xdr:cNvSpPr txBox="1"/>
      </xdr:nvSpPr>
      <xdr:spPr>
        <a:xfrm>
          <a:off x="16537022" y="966011"/>
          <a:ext cx="878192" cy="79712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/>
            <a:t>β = 0.8666 </a:t>
          </a:r>
          <a:endParaRPr lang="en-US"/>
        </a:p>
        <a:p>
          <a:r>
            <a:rPr lang="en-IN"/>
            <a:t>Adjusted </a:t>
          </a:r>
          <a:r>
            <a:rPr lang="el-GR"/>
            <a:t>β = 0.9106 </a:t>
          </a:r>
          <a:endParaRPr lang="en-US"/>
        </a:p>
        <a:p>
          <a:r>
            <a:rPr lang="en-IN"/>
            <a:t>R² = 0.1249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266081</xdr:colOff>
      <xdr:row>0</xdr:row>
      <xdr:rowOff>0</xdr:rowOff>
    </xdr:from>
    <xdr:to>
      <xdr:col>34</xdr:col>
      <xdr:colOff>570881</xdr:colOff>
      <xdr:row>15</xdr:row>
      <xdr:rowOff>25177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325B1E-476B-CC24-20F2-68CC87C5D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489264</xdr:colOff>
      <xdr:row>0</xdr:row>
      <xdr:rowOff>0</xdr:rowOff>
    </xdr:from>
    <xdr:to>
      <xdr:col>27</xdr:col>
      <xdr:colOff>266707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D3E62E-87DA-C95B-4FFD-BEB3F61D4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478853</xdr:colOff>
      <xdr:row>14</xdr:row>
      <xdr:rowOff>172135</xdr:rowOff>
    </xdr:from>
    <xdr:to>
      <xdr:col>27</xdr:col>
      <xdr:colOff>290790</xdr:colOff>
      <xdr:row>30</xdr:row>
      <xdr:rowOff>62458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7D87EC-DA09-28A1-DC2B-EFE7FB470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277328</xdr:colOff>
      <xdr:row>15</xdr:row>
      <xdr:rowOff>8942</xdr:rowOff>
    </xdr:from>
    <xdr:to>
      <xdr:col>34</xdr:col>
      <xdr:colOff>573454</xdr:colOff>
      <xdr:row>30</xdr:row>
      <xdr:rowOff>60116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BD2A30-DA49-7D41-04FF-8A52B9B3B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588570</xdr:colOff>
      <xdr:row>0</xdr:row>
      <xdr:rowOff>6112</xdr:rowOff>
    </xdr:from>
    <xdr:to>
      <xdr:col>42</xdr:col>
      <xdr:colOff>252803</xdr:colOff>
      <xdr:row>14</xdr:row>
      <xdr:rowOff>96337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E582A2-70B3-09D1-2FF3-E6D8EC1AE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5">
          <cell r="B25">
            <v>7.7394945928607795E-2</v>
          </cell>
        </row>
        <row r="26">
          <cell r="B26">
            <v>7.6988472066279956E-2</v>
          </cell>
        </row>
        <row r="27">
          <cell r="B27">
            <v>3.6679039608355245E-2</v>
          </cell>
        </row>
        <row r="28">
          <cell r="B28">
            <v>1.4498666182610493E-3</v>
          </cell>
        </row>
        <row r="29">
          <cell r="B29">
            <v>4.2524330685376435E-2</v>
          </cell>
        </row>
        <row r="30">
          <cell r="B30">
            <v>0.11084643378526435</v>
          </cell>
        </row>
        <row r="31">
          <cell r="B31">
            <v>7.9780026490623698E-2</v>
          </cell>
        </row>
        <row r="32">
          <cell r="B32">
            <v>-9.4169022023227519E-3</v>
          </cell>
        </row>
        <row r="33">
          <cell r="B33">
            <v>6.8959713453671231E-2</v>
          </cell>
        </row>
        <row r="34">
          <cell r="B34">
            <v>2.1736822855035788E-2</v>
          </cell>
        </row>
        <row r="35">
          <cell r="B35">
            <v>8.584721380020045E-3</v>
          </cell>
        </row>
        <row r="36">
          <cell r="B36">
            <v>6.8472277665754103E-2</v>
          </cell>
        </row>
        <row r="37">
          <cell r="B37">
            <v>1.9814459235029055E-2</v>
          </cell>
        </row>
        <row r="38">
          <cell r="B38">
            <v>1.439107566523146E-2</v>
          </cell>
        </row>
        <row r="39">
          <cell r="B39">
            <v>8.7375213172656147E-2</v>
          </cell>
        </row>
        <row r="40">
          <cell r="B40">
            <v>3.6682582753373445E-2</v>
          </cell>
        </row>
        <row r="41">
          <cell r="B41">
            <v>1.4732325919489657E-2</v>
          </cell>
        </row>
        <row r="42">
          <cell r="B42">
            <v>-2.1661694593094007E-2</v>
          </cell>
        </row>
        <row r="43">
          <cell r="B43">
            <v>3.1024800065456756E-2</v>
          </cell>
        </row>
        <row r="44">
          <cell r="B44">
            <v>1.1391530720566818E-2</v>
          </cell>
        </row>
        <row r="45">
          <cell r="B45">
            <v>-1.5185659530505135E-2</v>
          </cell>
        </row>
        <row r="46">
          <cell r="B46">
            <v>4.671940057977348E-2</v>
          </cell>
        </row>
        <row r="47">
          <cell r="B47">
            <v>-5.8724613239921706E-3</v>
          </cell>
        </row>
        <row r="48">
          <cell r="B48">
            <v>-1.4147950467931556E-2</v>
          </cell>
        </row>
        <row r="49">
          <cell r="B49">
            <v>-2.9928605324524057E-2</v>
          </cell>
        </row>
        <row r="50">
          <cell r="B50">
            <v>8.777920033487685E-2</v>
          </cell>
        </row>
        <row r="51">
          <cell r="B51">
            <v>4.2458789677107048E-2</v>
          </cell>
        </row>
        <row r="52">
          <cell r="B52">
            <v>-2.0348284235797563E-2</v>
          </cell>
        </row>
        <row r="53">
          <cell r="B53">
            <v>5.8633175020904649E-2</v>
          </cell>
        </row>
        <row r="54">
          <cell r="B54">
            <v>4.8000853233384343E-2</v>
          </cell>
        </row>
        <row r="55">
          <cell r="B55">
            <v>-1.8070306607301495E-2</v>
          </cell>
        </row>
        <row r="56">
          <cell r="B56">
            <v>-9.111381030126672E-3</v>
          </cell>
        </row>
        <row r="57">
          <cell r="B57">
            <v>-5.4753158192657695E-3</v>
          </cell>
        </row>
        <row r="58">
          <cell r="B58">
            <v>1.4895302329323571E-2</v>
          </cell>
        </row>
        <row r="59">
          <cell r="B59">
            <v>4.7308309451518177E-2</v>
          </cell>
        </row>
        <row r="60">
          <cell r="B60">
            <v>3.4619318605869719E-2</v>
          </cell>
        </row>
        <row r="61">
          <cell r="B61">
            <v>4.2710992169255467E-2</v>
          </cell>
        </row>
        <row r="62">
          <cell r="B62">
            <v>3.7606531329955596E-2</v>
          </cell>
        </row>
        <row r="63">
          <cell r="B63">
            <v>-9.8353068741285059E-3</v>
          </cell>
        </row>
        <row r="64">
          <cell r="B64">
            <v>2.9407480151003536E-2</v>
          </cell>
        </row>
        <row r="65">
          <cell r="B65">
            <v>-1.2554748874518793E-2</v>
          </cell>
        </row>
        <row r="66">
          <cell r="B66">
            <v>5.9955216067339223E-2</v>
          </cell>
        </row>
        <row r="67">
          <cell r="B67">
            <v>8.0897801222223842E-2</v>
          </cell>
        </row>
        <row r="68">
          <cell r="B68">
            <v>1.1873346025302255E-2</v>
          </cell>
        </row>
        <row r="69">
          <cell r="B69">
            <v>2.2356368702156092E-2</v>
          </cell>
        </row>
        <row r="70">
          <cell r="B70">
            <v>2.5666261367155059E-2</v>
          </cell>
        </row>
        <row r="71">
          <cell r="B71">
            <v>2.2889521833448761E-2</v>
          </cell>
        </row>
        <row r="72">
          <cell r="B72">
            <v>9.2578550370587265E-3</v>
          </cell>
        </row>
        <row r="73">
          <cell r="B73">
            <v>6.9024618368194846E-2</v>
          </cell>
        </row>
        <row r="74">
          <cell r="B74">
            <v>4.6048822928343509E-2</v>
          </cell>
        </row>
        <row r="75">
          <cell r="B75">
            <v>2.1990984543807213E-2</v>
          </cell>
        </row>
        <row r="76">
          <cell r="B76">
            <v>3.1845275268918866E-2</v>
          </cell>
        </row>
        <row r="77">
          <cell r="B77">
            <v>-4.1806372219579106E-2</v>
          </cell>
        </row>
        <row r="78">
          <cell r="B78">
            <v>9.4422458551449776E-3</v>
          </cell>
        </row>
        <row r="79">
          <cell r="B79">
            <v>-5.3641789024892906E-3</v>
          </cell>
        </row>
        <row r="80">
          <cell r="B80">
            <v>7.1012792883097054E-3</v>
          </cell>
        </row>
        <row r="81">
          <cell r="B81">
            <v>-3.890945346925849E-2</v>
          </cell>
        </row>
        <row r="82">
          <cell r="B82">
            <v>6.6729911160332708E-2</v>
          </cell>
        </row>
        <row r="83">
          <cell r="B83">
            <v>4.212612598891248E-2</v>
          </cell>
        </row>
        <row r="84">
          <cell r="B84">
            <v>2.6933876031638663E-2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41">
  <tableColumns count="14">
    <tableColumn id="1" xr3:uid="{00000000-0010-0000-0000-000001000000}" name="Column1" headerRowDxfId="40" dataDxfId="39"/>
    <tableColumn id="2" xr3:uid="{00000000-0010-0000-0000-000002000000}" name="Column2" headerRowDxfId="38"/>
    <tableColumn id="3" xr3:uid="{00000000-0010-0000-0000-000003000000}" name="Column3" headerRowDxfId="37"/>
    <tableColumn id="4" xr3:uid="{00000000-0010-0000-0000-000004000000}" name="Column4" headerRowDxfId="36"/>
    <tableColumn id="5" xr3:uid="{00000000-0010-0000-0000-000005000000}" name="Column5" headerRowDxfId="35"/>
    <tableColumn id="6" xr3:uid="{00000000-0010-0000-0000-000006000000}" name="Column6" headerRowDxfId="34"/>
    <tableColumn id="7" xr3:uid="{00000000-0010-0000-0000-000007000000}" name="Column7" headerRowDxfId="33"/>
    <tableColumn id="8" xr3:uid="{00000000-0010-0000-0000-000008000000}" name="Column8" headerRowDxfId="32"/>
    <tableColumn id="9" xr3:uid="{00000000-0010-0000-0000-000009000000}" name="Column9" headerRowDxfId="31"/>
    <tableColumn id="10" xr3:uid="{00000000-0010-0000-0000-00000A000000}" name="Column10" headerRowDxfId="30"/>
    <tableColumn id="11" xr3:uid="{00000000-0010-0000-0000-00000B000000}" name="Column11" headerRowDxfId="29"/>
    <tableColumn id="12" xr3:uid="{00000000-0010-0000-0000-00000C000000}" name="Column12" headerRowDxfId="28"/>
    <tableColumn id="13" xr3:uid="{00000000-0010-0000-0000-00000D000000}" name="Column13" headerRowDxfId="27" dataDxfId="26"/>
    <tableColumn id="14" xr3:uid="{00000000-0010-0000-0000-00000E000000}" name="Column14" headerRowDxfId="25" dataDxfId="24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23">
  <tableColumns count="11">
    <tableColumn id="1" xr3:uid="{00000000-0010-0000-0100-000001000000}" name="Column1" headerRowDxfId="22"/>
    <tableColumn id="2" xr3:uid="{00000000-0010-0000-0100-000002000000}" name="Column2" headerRowDxfId="21"/>
    <tableColumn id="3" xr3:uid="{00000000-0010-0000-0100-000003000000}" name="Column3" headerRowDxfId="20"/>
    <tableColumn id="4" xr3:uid="{00000000-0010-0000-0100-000004000000}" name="Column4" headerRowDxfId="19"/>
    <tableColumn id="5" xr3:uid="{00000000-0010-0000-0100-000005000000}" name="Column5" headerRowDxfId="18"/>
    <tableColumn id="6" xr3:uid="{00000000-0010-0000-0100-000006000000}" name="Column6" headerRowDxfId="17"/>
    <tableColumn id="7" xr3:uid="{00000000-0010-0000-0100-000007000000}" name="Column7" headerRowDxfId="16"/>
    <tableColumn id="8" xr3:uid="{00000000-0010-0000-0100-000008000000}" name="Column8" headerRowDxfId="15"/>
    <tableColumn id="9" xr3:uid="{00000000-0010-0000-0100-000009000000}" name="Column9" headerRowDxfId="14"/>
    <tableColumn id="10" xr3:uid="{00000000-0010-0000-0100-00000A000000}" name="Column10" headerRowDxfId="13"/>
    <tableColumn id="11" xr3:uid="{00000000-0010-0000-0100-00000B000000}" name="Column11" headerRowDxfId="12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63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C61" sqref="C61"/>
    </sheetView>
  </sheetViews>
  <sheetFormatPr defaultColWidth="8.81640625" defaultRowHeight="14.5"/>
  <cols>
    <col min="1" max="1" width="27.6328125" style="4" bestFit="1" customWidth="1"/>
    <col min="2" max="11" width="13.453125" style="4" bestFit="1" customWidth="1"/>
    <col min="12" max="16384" width="8.81640625" style="4"/>
  </cols>
  <sheetData>
    <row r="1" spans="1:11" s="1" customFormat="1">
      <c r="A1" s="1" t="s">
        <v>0</v>
      </c>
      <c r="B1" s="1" t="s">
        <v>63</v>
      </c>
      <c r="E1" s="169" t="str">
        <f>IF(B2&lt;&gt;B3, "A NEW VERSION OF THE WORKSHEET IS AVAILABLE", "")</f>
        <v/>
      </c>
      <c r="F1" s="169"/>
      <c r="G1" s="169"/>
      <c r="H1" s="169"/>
      <c r="I1" s="169"/>
      <c r="J1" s="169"/>
      <c r="K1" s="169"/>
    </row>
    <row r="2" spans="1:11">
      <c r="A2" s="1" t="s">
        <v>61</v>
      </c>
      <c r="B2" s="4">
        <v>2.1</v>
      </c>
      <c r="E2" s="170" t="s">
        <v>36</v>
      </c>
      <c r="F2" s="170"/>
      <c r="G2" s="170"/>
      <c r="H2" s="170"/>
      <c r="I2" s="170"/>
      <c r="J2" s="170"/>
      <c r="K2" s="170"/>
    </row>
    <row r="3" spans="1:11">
      <c r="A3" s="1" t="s">
        <v>62</v>
      </c>
      <c r="B3" s="4">
        <v>2.1</v>
      </c>
    </row>
    <row r="4" spans="1:11">
      <c r="A4" s="1"/>
    </row>
    <row r="5" spans="1:11">
      <c r="A5" s="1" t="s">
        <v>64</v>
      </c>
    </row>
    <row r="6" spans="1:11">
      <c r="A6" s="4" t="s">
        <v>42</v>
      </c>
      <c r="B6" s="4">
        <f>IF(B9&gt;0, B9/B8, 0)</f>
        <v>11.18777979431337</v>
      </c>
    </row>
    <row r="7" spans="1:11">
      <c r="A7" s="4" t="s">
        <v>31</v>
      </c>
      <c r="B7">
        <v>10</v>
      </c>
    </row>
    <row r="8" spans="1:11">
      <c r="A8" s="4" t="s">
        <v>43</v>
      </c>
      <c r="B8">
        <v>3306</v>
      </c>
    </row>
    <row r="9" spans="1:11">
      <c r="A9" s="4" t="s">
        <v>79</v>
      </c>
      <c r="B9">
        <v>36986.800000000003</v>
      </c>
    </row>
    <row r="12" spans="1:11">
      <c r="C12" s="4">
        <f>B18+B20+B21+B22-B19</f>
        <v>2932.37</v>
      </c>
    </row>
    <row r="15" spans="1:11">
      <c r="A15" s="1" t="s">
        <v>37</v>
      </c>
    </row>
    <row r="16" spans="1:11" s="18" customFormat="1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>
      <c r="A17" s="6" t="s">
        <v>6</v>
      </c>
      <c r="B17">
        <v>3431.99</v>
      </c>
      <c r="C17">
        <v>4145.33</v>
      </c>
      <c r="D17">
        <v>5059.34</v>
      </c>
      <c r="E17">
        <v>6262.02</v>
      </c>
      <c r="F17">
        <v>5810.09</v>
      </c>
      <c r="G17">
        <v>7014.42</v>
      </c>
      <c r="H17">
        <v>7282.65</v>
      </c>
      <c r="I17">
        <v>8428.69</v>
      </c>
      <c r="J17">
        <v>9803.59</v>
      </c>
      <c r="K17">
        <v>10243.879999999999</v>
      </c>
    </row>
    <row r="18" spans="1:11" s="6" customFormat="1">
      <c r="A18" s="4" t="s">
        <v>80</v>
      </c>
      <c r="B18">
        <v>2409.31</v>
      </c>
      <c r="C18">
        <v>2877.78</v>
      </c>
      <c r="D18">
        <v>3426.78</v>
      </c>
      <c r="E18">
        <v>4481.47</v>
      </c>
      <c r="F18">
        <v>3846.68</v>
      </c>
      <c r="G18">
        <v>4514.72</v>
      </c>
      <c r="H18">
        <v>5045.45</v>
      </c>
      <c r="I18">
        <v>6286.53</v>
      </c>
      <c r="J18">
        <v>7147.97</v>
      </c>
      <c r="K18">
        <v>7066.61</v>
      </c>
    </row>
    <row r="19" spans="1:11" s="6" customFormat="1">
      <c r="A19" s="4" t="s">
        <v>81</v>
      </c>
      <c r="B19">
        <v>24.88</v>
      </c>
      <c r="C19">
        <v>46.49</v>
      </c>
      <c r="D19">
        <v>19.36</v>
      </c>
      <c r="E19">
        <v>204.54</v>
      </c>
      <c r="F19">
        <v>5.58</v>
      </c>
      <c r="G19">
        <v>-129.91999999999999</v>
      </c>
      <c r="H19">
        <v>66.94</v>
      </c>
      <c r="I19">
        <v>163.65</v>
      </c>
      <c r="J19">
        <v>185.97</v>
      </c>
      <c r="K19">
        <v>-188.53</v>
      </c>
    </row>
    <row r="20" spans="1:11" s="6" customFormat="1">
      <c r="A20" s="4" t="s">
        <v>82</v>
      </c>
      <c r="B20">
        <v>36.01</v>
      </c>
      <c r="C20">
        <v>38.840000000000003</v>
      </c>
      <c r="D20">
        <v>38.200000000000003</v>
      </c>
      <c r="E20">
        <v>45.44</v>
      </c>
      <c r="F20">
        <v>40.07</v>
      </c>
      <c r="G20">
        <v>38.369999999999997</v>
      </c>
      <c r="H20">
        <v>40.590000000000003</v>
      </c>
      <c r="I20">
        <v>45.84</v>
      </c>
      <c r="J20">
        <v>50.59</v>
      </c>
      <c r="K20">
        <v>46.37</v>
      </c>
    </row>
    <row r="21" spans="1:11" s="6" customFormat="1">
      <c r="A21" s="4" t="s">
        <v>83</v>
      </c>
      <c r="B21">
        <v>98.37</v>
      </c>
      <c r="C21">
        <v>137.75</v>
      </c>
      <c r="D21">
        <v>167.41</v>
      </c>
      <c r="E21">
        <v>215.43</v>
      </c>
      <c r="F21">
        <v>205.6</v>
      </c>
      <c r="G21">
        <v>204.74</v>
      </c>
      <c r="H21">
        <v>232.41</v>
      </c>
      <c r="I21">
        <v>289.64999999999998</v>
      </c>
      <c r="J21">
        <v>348.14</v>
      </c>
      <c r="K21">
        <v>385.06</v>
      </c>
    </row>
    <row r="22" spans="1:11" s="6" customFormat="1">
      <c r="A22" s="4" t="s">
        <v>84</v>
      </c>
      <c r="B22">
        <v>413.56</v>
      </c>
      <c r="C22">
        <v>422.1</v>
      </c>
      <c r="D22">
        <v>460.47</v>
      </c>
      <c r="E22">
        <v>492.76</v>
      </c>
      <c r="F22">
        <v>526.59</v>
      </c>
      <c r="G22">
        <v>555.41</v>
      </c>
      <c r="H22">
        <v>549.41</v>
      </c>
      <c r="I22">
        <v>613.83000000000004</v>
      </c>
      <c r="J22">
        <v>706.01</v>
      </c>
      <c r="K22">
        <v>781.22</v>
      </c>
    </row>
    <row r="23" spans="1:11" s="6" customFormat="1">
      <c r="A23" s="4" t="s">
        <v>85</v>
      </c>
      <c r="B23">
        <v>305</v>
      </c>
      <c r="C23">
        <v>344.98</v>
      </c>
      <c r="D23">
        <v>362</v>
      </c>
      <c r="E23">
        <v>431.46</v>
      </c>
      <c r="F23">
        <v>423.61</v>
      </c>
      <c r="G23">
        <v>370.27</v>
      </c>
      <c r="H23">
        <v>394.61</v>
      </c>
      <c r="I23">
        <v>491.31</v>
      </c>
      <c r="J23">
        <v>472.55</v>
      </c>
      <c r="K23">
        <v>488.89</v>
      </c>
    </row>
    <row r="24" spans="1:11" s="6" customFormat="1">
      <c r="A24" s="4" t="s">
        <v>86</v>
      </c>
      <c r="B24">
        <v>33.67</v>
      </c>
      <c r="C24">
        <v>102.59</v>
      </c>
      <c r="D24">
        <v>70.489999999999995</v>
      </c>
      <c r="E24">
        <v>77.430000000000007</v>
      </c>
      <c r="F24">
        <v>111.8</v>
      </c>
      <c r="G24">
        <v>74.97</v>
      </c>
      <c r="H24">
        <v>121.06</v>
      </c>
      <c r="I24">
        <v>95.14</v>
      </c>
      <c r="J24">
        <v>133.93</v>
      </c>
      <c r="K24">
        <v>123.01</v>
      </c>
    </row>
    <row r="25" spans="1:11" s="6" customFormat="1">
      <c r="A25" s="6" t="s">
        <v>9</v>
      </c>
      <c r="B25">
        <v>30.66</v>
      </c>
      <c r="C25">
        <v>35.85</v>
      </c>
      <c r="D25">
        <v>58.44</v>
      </c>
      <c r="E25">
        <v>99.19</v>
      </c>
      <c r="F25">
        <v>88.38</v>
      </c>
      <c r="G25">
        <v>160.38</v>
      </c>
      <c r="H25">
        <v>173.8</v>
      </c>
      <c r="I25">
        <v>227.88</v>
      </c>
      <c r="J25">
        <v>525.37</v>
      </c>
      <c r="K25">
        <v>600.53</v>
      </c>
    </row>
    <row r="26" spans="1:11" s="6" customFormat="1">
      <c r="A26" s="6" t="s">
        <v>10</v>
      </c>
      <c r="B26">
        <v>58.13</v>
      </c>
      <c r="C26">
        <v>63.42</v>
      </c>
      <c r="D26">
        <v>73.22</v>
      </c>
      <c r="E26">
        <v>87.21</v>
      </c>
      <c r="F26">
        <v>107.22</v>
      </c>
      <c r="G26">
        <v>118.28</v>
      </c>
      <c r="H26">
        <v>132.06</v>
      </c>
      <c r="I26">
        <v>150.06</v>
      </c>
      <c r="J26">
        <v>224.06</v>
      </c>
      <c r="K26">
        <v>243.65</v>
      </c>
    </row>
    <row r="27" spans="1:11" s="6" customFormat="1">
      <c r="A27" s="6" t="s">
        <v>11</v>
      </c>
      <c r="B27">
        <v>51.06</v>
      </c>
      <c r="C27">
        <v>32.21</v>
      </c>
      <c r="D27">
        <v>29.49</v>
      </c>
      <c r="E27">
        <v>19.54</v>
      </c>
      <c r="F27">
        <v>17.23</v>
      </c>
      <c r="G27">
        <v>13.34</v>
      </c>
      <c r="H27">
        <v>14.97</v>
      </c>
      <c r="I27">
        <v>13.27</v>
      </c>
      <c r="J27">
        <v>41.66</v>
      </c>
      <c r="K27">
        <v>29.17</v>
      </c>
    </row>
    <row r="28" spans="1:11" s="6" customFormat="1">
      <c r="A28" s="6" t="s">
        <v>12</v>
      </c>
      <c r="B28">
        <v>82.42</v>
      </c>
      <c r="C28">
        <v>208</v>
      </c>
      <c r="D28">
        <v>509.08</v>
      </c>
      <c r="E28">
        <v>715.01</v>
      </c>
      <c r="F28">
        <v>625.25</v>
      </c>
      <c r="G28">
        <v>1154.78</v>
      </c>
      <c r="H28">
        <v>992.83</v>
      </c>
      <c r="I28">
        <v>834.59</v>
      </c>
      <c r="J28">
        <v>1390.02</v>
      </c>
      <c r="K28">
        <v>1491.9</v>
      </c>
    </row>
    <row r="29" spans="1:11" s="6" customFormat="1">
      <c r="A29" s="6" t="s">
        <v>13</v>
      </c>
      <c r="B29">
        <v>12.27</v>
      </c>
      <c r="C29">
        <v>77.25</v>
      </c>
      <c r="D29">
        <v>162.49</v>
      </c>
      <c r="E29">
        <v>237.11</v>
      </c>
      <c r="F29">
        <v>153.53</v>
      </c>
      <c r="G29">
        <v>283.14999999999998</v>
      </c>
      <c r="H29">
        <v>257.22000000000003</v>
      </c>
      <c r="I29">
        <v>197.94</v>
      </c>
      <c r="J29">
        <v>313.39999999999998</v>
      </c>
      <c r="K29">
        <v>226.95</v>
      </c>
    </row>
    <row r="30" spans="1:11" s="6" customFormat="1">
      <c r="A30" s="6" t="s">
        <v>14</v>
      </c>
      <c r="B30">
        <v>70.61</v>
      </c>
      <c r="C30">
        <v>131.27000000000001</v>
      </c>
      <c r="D30">
        <v>347.02</v>
      </c>
      <c r="E30">
        <v>478.93</v>
      </c>
      <c r="F30">
        <v>472.25</v>
      </c>
      <c r="G30">
        <v>871.46</v>
      </c>
      <c r="H30">
        <v>736.47</v>
      </c>
      <c r="I30">
        <v>636.78</v>
      </c>
      <c r="J30">
        <v>1076.6500000000001</v>
      </c>
      <c r="K30">
        <v>1264.94</v>
      </c>
    </row>
    <row r="31" spans="1:11" s="6" customFormat="1">
      <c r="A31" s="6" t="s">
        <v>70</v>
      </c>
      <c r="B31">
        <v>14.71</v>
      </c>
      <c r="C31">
        <v>18.39</v>
      </c>
      <c r="D31">
        <v>24.52</v>
      </c>
      <c r="E31">
        <v>30.64</v>
      </c>
      <c r="F31">
        <v>30.64</v>
      </c>
      <c r="G31">
        <v>101.12</v>
      </c>
      <c r="H31">
        <v>92.36</v>
      </c>
      <c r="I31">
        <v>92.36</v>
      </c>
      <c r="J31">
        <v>198.9</v>
      </c>
      <c r="K31">
        <v>313.26</v>
      </c>
    </row>
    <row r="32" spans="1:11" s="6" customFormat="1"/>
    <row r="33" spans="1:11">
      <c r="A33" s="6"/>
    </row>
    <row r="34" spans="1:11">
      <c r="A34" s="6"/>
    </row>
    <row r="35" spans="1:11">
      <c r="A35" s="6"/>
    </row>
    <row r="36" spans="1:11">
      <c r="A36" s="6"/>
    </row>
    <row r="37" spans="1:11">
      <c r="A37" s="6"/>
    </row>
    <row r="38" spans="1:11">
      <c r="A38" s="6"/>
    </row>
    <row r="39" spans="1:11">
      <c r="A39" s="6"/>
    </row>
    <row r="40" spans="1:11">
      <c r="A40" s="1" t="s">
        <v>39</v>
      </c>
    </row>
    <row r="41" spans="1:11" s="18" customFormat="1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>
      <c r="A42" s="6" t="s">
        <v>6</v>
      </c>
      <c r="B42">
        <v>2291.35</v>
      </c>
      <c r="C42">
        <v>2214.48</v>
      </c>
      <c r="D42">
        <v>2355.17</v>
      </c>
      <c r="E42">
        <v>2477.71</v>
      </c>
      <c r="F42">
        <v>2727.61</v>
      </c>
      <c r="G42">
        <v>2300.66</v>
      </c>
      <c r="H42">
        <v>2818.39</v>
      </c>
      <c r="I42">
        <v>2277.25</v>
      </c>
      <c r="J42">
        <v>2948.02</v>
      </c>
      <c r="K42">
        <v>2444.88</v>
      </c>
    </row>
    <row r="43" spans="1:11" s="6" customFormat="1">
      <c r="A43" s="6" t="s">
        <v>7</v>
      </c>
      <c r="B43">
        <v>2105.96</v>
      </c>
      <c r="C43">
        <v>1981.32</v>
      </c>
      <c r="D43">
        <v>2024.12</v>
      </c>
      <c r="E43">
        <v>2213.52</v>
      </c>
      <c r="F43">
        <v>2402.3200000000002</v>
      </c>
      <c r="G43">
        <v>2015.25</v>
      </c>
      <c r="H43">
        <v>2450.9899999999998</v>
      </c>
      <c r="I43">
        <v>2047.43</v>
      </c>
      <c r="J43">
        <v>2615.7399999999998</v>
      </c>
      <c r="K43">
        <v>2157.63</v>
      </c>
    </row>
    <row r="44" spans="1:11" s="6" customFormat="1">
      <c r="A44" s="6" t="s">
        <v>9</v>
      </c>
      <c r="B44">
        <v>91.68</v>
      </c>
      <c r="C44">
        <v>86.46</v>
      </c>
      <c r="D44">
        <v>99.02</v>
      </c>
      <c r="E44">
        <v>93.75</v>
      </c>
      <c r="F44">
        <v>128.6</v>
      </c>
      <c r="G44">
        <v>132.77000000000001</v>
      </c>
      <c r="H44">
        <v>103.04</v>
      </c>
      <c r="I44">
        <v>140.05000000000001</v>
      </c>
      <c r="J44">
        <v>142.6</v>
      </c>
      <c r="K44">
        <v>177.6</v>
      </c>
    </row>
    <row r="45" spans="1:11" s="6" customFormat="1">
      <c r="A45" s="6" t="s">
        <v>10</v>
      </c>
      <c r="B45">
        <v>37.97</v>
      </c>
      <c r="C45">
        <v>38.369999999999997</v>
      </c>
      <c r="D45">
        <v>40.299999999999997</v>
      </c>
      <c r="E45">
        <v>58.34</v>
      </c>
      <c r="F45">
        <v>56.62</v>
      </c>
      <c r="G45">
        <v>59.24</v>
      </c>
      <c r="H45">
        <v>61.63</v>
      </c>
      <c r="I45">
        <v>61.07</v>
      </c>
      <c r="J45">
        <v>61.53</v>
      </c>
      <c r="K45">
        <v>61.97</v>
      </c>
    </row>
    <row r="46" spans="1:11" s="6" customFormat="1">
      <c r="A46" s="6" t="s">
        <v>11</v>
      </c>
      <c r="B46">
        <v>3.48</v>
      </c>
      <c r="C46">
        <v>3.63</v>
      </c>
      <c r="D46">
        <v>3.43</v>
      </c>
      <c r="E46">
        <v>9.43</v>
      </c>
      <c r="F46">
        <v>11.16</v>
      </c>
      <c r="G46">
        <v>11.66</v>
      </c>
      <c r="H46">
        <v>10.73</v>
      </c>
      <c r="I46">
        <v>9.7899999999999991</v>
      </c>
      <c r="J46">
        <v>3.54</v>
      </c>
      <c r="K46">
        <v>5.14</v>
      </c>
    </row>
    <row r="47" spans="1:11" s="6" customFormat="1">
      <c r="A47" s="6" t="s">
        <v>12</v>
      </c>
      <c r="B47">
        <v>235.62</v>
      </c>
      <c r="C47">
        <v>277.62</v>
      </c>
      <c r="D47">
        <v>386.34</v>
      </c>
      <c r="E47">
        <v>290.17</v>
      </c>
      <c r="F47">
        <v>386.11</v>
      </c>
      <c r="G47">
        <v>347.28</v>
      </c>
      <c r="H47">
        <v>398.08</v>
      </c>
      <c r="I47">
        <v>299.01</v>
      </c>
      <c r="J47">
        <v>409.81</v>
      </c>
      <c r="K47">
        <v>397.74</v>
      </c>
    </row>
    <row r="48" spans="1:11" s="6" customFormat="1">
      <c r="A48" s="6" t="s">
        <v>13</v>
      </c>
      <c r="B48">
        <v>54.82</v>
      </c>
      <c r="C48">
        <v>61.16</v>
      </c>
      <c r="D48">
        <v>96.45</v>
      </c>
      <c r="E48">
        <v>79.66</v>
      </c>
      <c r="F48">
        <v>87.59</v>
      </c>
      <c r="G48">
        <v>77.3</v>
      </c>
      <c r="H48">
        <v>96.4</v>
      </c>
      <c r="I48">
        <v>-25.21</v>
      </c>
      <c r="J48">
        <v>89.18</v>
      </c>
      <c r="K48">
        <v>79.319999999999993</v>
      </c>
    </row>
    <row r="49" spans="1:11" s="6" customFormat="1">
      <c r="A49" s="6" t="s">
        <v>14</v>
      </c>
      <c r="B49">
        <v>180.82</v>
      </c>
      <c r="C49">
        <v>216.49</v>
      </c>
      <c r="D49">
        <v>289.89999999999998</v>
      </c>
      <c r="E49">
        <v>210.53</v>
      </c>
      <c r="F49">
        <v>298.51</v>
      </c>
      <c r="G49">
        <v>269.99</v>
      </c>
      <c r="H49">
        <v>301.64999999999998</v>
      </c>
      <c r="I49">
        <v>324.23</v>
      </c>
      <c r="J49">
        <v>320.64</v>
      </c>
      <c r="K49">
        <v>318.42</v>
      </c>
    </row>
    <row r="50" spans="1:11">
      <c r="A50" s="6" t="s">
        <v>8</v>
      </c>
      <c r="B50">
        <v>185.39</v>
      </c>
      <c r="C50">
        <v>233.16</v>
      </c>
      <c r="D50">
        <v>331.05</v>
      </c>
      <c r="E50">
        <v>264.19</v>
      </c>
      <c r="F50">
        <v>325.29000000000002</v>
      </c>
      <c r="G50">
        <v>285.41000000000003</v>
      </c>
      <c r="H50">
        <v>367.4</v>
      </c>
      <c r="I50">
        <v>229.82</v>
      </c>
      <c r="J50">
        <v>332.28</v>
      </c>
      <c r="K50">
        <v>287.25</v>
      </c>
    </row>
    <row r="51" spans="1:11">
      <c r="A51" s="26"/>
    </row>
    <row r="52" spans="1:11">
      <c r="A52" s="6"/>
    </row>
    <row r="53" spans="1:11">
      <c r="A53" s="6"/>
    </row>
    <row r="54" spans="1:11">
      <c r="A54" s="6"/>
    </row>
    <row r="55" spans="1:11">
      <c r="A55" s="1" t="s">
        <v>40</v>
      </c>
    </row>
    <row r="56" spans="1:11" s="18" customFormat="1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>
      <c r="A57" s="6" t="s">
        <v>24</v>
      </c>
      <c r="B57">
        <v>122.58</v>
      </c>
      <c r="C57">
        <v>122.58</v>
      </c>
      <c r="D57">
        <v>122.58</v>
      </c>
      <c r="E57">
        <v>122.58</v>
      </c>
      <c r="F57">
        <v>122.58</v>
      </c>
      <c r="G57">
        <v>134.83000000000001</v>
      </c>
      <c r="H57">
        <v>131.94</v>
      </c>
      <c r="I57">
        <v>131.94</v>
      </c>
      <c r="J57">
        <v>110.5</v>
      </c>
      <c r="K57">
        <v>111.88</v>
      </c>
    </row>
    <row r="58" spans="1:11">
      <c r="A58" s="6" t="s">
        <v>25</v>
      </c>
      <c r="B58">
        <v>1343.9</v>
      </c>
      <c r="C58">
        <v>1498.35</v>
      </c>
      <c r="D58">
        <v>2092.56</v>
      </c>
      <c r="E58">
        <v>2550.91</v>
      </c>
      <c r="F58">
        <v>2994.82</v>
      </c>
      <c r="G58">
        <v>4891.3</v>
      </c>
      <c r="H58">
        <v>7467.96</v>
      </c>
      <c r="I58">
        <v>8054.77</v>
      </c>
      <c r="J58">
        <v>9278.01</v>
      </c>
      <c r="K58">
        <v>10254.92</v>
      </c>
    </row>
    <row r="59" spans="1:11">
      <c r="A59" s="6" t="s">
        <v>71</v>
      </c>
      <c r="B59">
        <v>368.12</v>
      </c>
      <c r="C59">
        <v>265.43</v>
      </c>
      <c r="D59">
        <v>51.09</v>
      </c>
      <c r="E59">
        <v>280.95999999999998</v>
      </c>
      <c r="F59">
        <v>47.67</v>
      </c>
      <c r="G59">
        <v>60.61</v>
      </c>
      <c r="H59">
        <v>51.95</v>
      </c>
      <c r="I59">
        <v>57.3</v>
      </c>
      <c r="J59">
        <v>448.46</v>
      </c>
      <c r="K59">
        <v>105.18</v>
      </c>
    </row>
    <row r="60" spans="1:11">
      <c r="A60" s="6" t="s">
        <v>72</v>
      </c>
      <c r="B60">
        <v>1133.58</v>
      </c>
      <c r="C60">
        <v>1312.86</v>
      </c>
      <c r="D60">
        <v>1706.3</v>
      </c>
      <c r="E60">
        <v>1752.52</v>
      </c>
      <c r="F60">
        <v>1848.89</v>
      </c>
      <c r="G60">
        <v>1791.43</v>
      </c>
      <c r="H60">
        <v>1455.89</v>
      </c>
      <c r="I60">
        <v>1840.81</v>
      </c>
      <c r="J60">
        <v>2563.39</v>
      </c>
      <c r="K60">
        <v>2622.71</v>
      </c>
    </row>
    <row r="61" spans="1:11" s="1" customFormat="1">
      <c r="A61" s="1" t="s">
        <v>26</v>
      </c>
      <c r="B61">
        <v>2968.18</v>
      </c>
      <c r="C61">
        <v>3199.22</v>
      </c>
      <c r="D61">
        <v>3972.53</v>
      </c>
      <c r="E61">
        <v>4706.97</v>
      </c>
      <c r="F61">
        <v>5013.96</v>
      </c>
      <c r="G61">
        <v>6878.17</v>
      </c>
      <c r="H61">
        <v>9107.74</v>
      </c>
      <c r="I61">
        <v>10084.82</v>
      </c>
      <c r="J61">
        <v>12400.36</v>
      </c>
      <c r="K61">
        <v>13094.69</v>
      </c>
    </row>
    <row r="62" spans="1:11">
      <c r="A62" s="6" t="s">
        <v>27</v>
      </c>
      <c r="B62">
        <v>1539.02</v>
      </c>
      <c r="C62">
        <v>1581.14</v>
      </c>
      <c r="D62">
        <v>1587.8</v>
      </c>
      <c r="E62">
        <v>1647.23</v>
      </c>
      <c r="F62">
        <v>1702.41</v>
      </c>
      <c r="G62">
        <v>1796.23</v>
      </c>
      <c r="H62">
        <v>1841.05</v>
      </c>
      <c r="I62">
        <v>1891.15</v>
      </c>
      <c r="J62">
        <v>2165.2800000000002</v>
      </c>
      <c r="K62">
        <v>2053.1799999999998</v>
      </c>
    </row>
    <row r="63" spans="1:11">
      <c r="A63" s="6" t="s">
        <v>28</v>
      </c>
      <c r="B63">
        <v>58.43</v>
      </c>
      <c r="C63">
        <v>34.700000000000003</v>
      </c>
      <c r="D63">
        <v>65.72</v>
      </c>
      <c r="E63">
        <v>79.959999999999994</v>
      </c>
      <c r="F63">
        <v>124.66</v>
      </c>
      <c r="G63">
        <v>64.69</v>
      </c>
      <c r="H63">
        <v>87.8</v>
      </c>
      <c r="I63">
        <v>113.68</v>
      </c>
      <c r="J63">
        <v>161.4</v>
      </c>
      <c r="K63">
        <v>152.54</v>
      </c>
    </row>
    <row r="64" spans="1:11">
      <c r="A64" s="6" t="s">
        <v>29</v>
      </c>
      <c r="B64">
        <v>63.66</v>
      </c>
      <c r="C64">
        <v>212.34</v>
      </c>
      <c r="D64">
        <v>549.04</v>
      </c>
      <c r="E64">
        <v>490.79</v>
      </c>
      <c r="F64">
        <v>797.36</v>
      </c>
      <c r="G64">
        <v>1938.02</v>
      </c>
      <c r="H64">
        <v>4835.84</v>
      </c>
      <c r="I64">
        <v>4766.6899999999996</v>
      </c>
      <c r="J64">
        <v>5019.4799999999996</v>
      </c>
      <c r="K64">
        <v>5605.21</v>
      </c>
    </row>
    <row r="65" spans="1:11">
      <c r="A65" s="6" t="s">
        <v>73</v>
      </c>
      <c r="B65">
        <v>1307.07</v>
      </c>
      <c r="C65">
        <v>1371.04</v>
      </c>
      <c r="D65">
        <v>1769.97</v>
      </c>
      <c r="E65">
        <v>2488.9899999999998</v>
      </c>
      <c r="F65">
        <v>2389.5300000000002</v>
      </c>
      <c r="G65">
        <v>3079.23</v>
      </c>
      <c r="H65">
        <v>2343.0500000000002</v>
      </c>
      <c r="I65">
        <v>3313.3</v>
      </c>
      <c r="J65">
        <v>5054.2</v>
      </c>
      <c r="K65">
        <v>5283.76</v>
      </c>
    </row>
    <row r="66" spans="1:11" s="1" customFormat="1">
      <c r="A66" s="1" t="s">
        <v>26</v>
      </c>
      <c r="B66">
        <v>2968.18</v>
      </c>
      <c r="C66">
        <v>3199.22</v>
      </c>
      <c r="D66">
        <v>3972.53</v>
      </c>
      <c r="E66">
        <v>4706.97</v>
      </c>
      <c r="F66">
        <v>5013.96</v>
      </c>
      <c r="G66">
        <v>6878.17</v>
      </c>
      <c r="H66">
        <v>9107.74</v>
      </c>
      <c r="I66">
        <v>10084.82</v>
      </c>
      <c r="J66">
        <v>12400.36</v>
      </c>
      <c r="K66">
        <v>13094.69</v>
      </c>
    </row>
    <row r="67" spans="1:11" s="6" customFormat="1">
      <c r="A67" s="6" t="s">
        <v>78</v>
      </c>
      <c r="B67">
        <v>374.97</v>
      </c>
      <c r="C67">
        <v>456.45</v>
      </c>
      <c r="D67">
        <v>592</v>
      </c>
      <c r="E67">
        <v>931.05</v>
      </c>
      <c r="F67">
        <v>731.86</v>
      </c>
      <c r="G67">
        <v>657.58</v>
      </c>
      <c r="H67">
        <v>792.62</v>
      </c>
      <c r="I67">
        <v>1179.6500000000001</v>
      </c>
      <c r="J67">
        <v>1427.91</v>
      </c>
      <c r="K67">
        <v>1331.84</v>
      </c>
    </row>
    <row r="68" spans="1:11">
      <c r="A68" s="6" t="s">
        <v>45</v>
      </c>
      <c r="B68">
        <v>456.76</v>
      </c>
      <c r="C68">
        <v>450.3</v>
      </c>
      <c r="D68">
        <v>565.73</v>
      </c>
      <c r="E68">
        <v>857.42</v>
      </c>
      <c r="F68">
        <v>883.36</v>
      </c>
      <c r="G68">
        <v>718.16</v>
      </c>
      <c r="H68">
        <v>846.56</v>
      </c>
      <c r="I68">
        <v>1217.68</v>
      </c>
      <c r="J68">
        <v>1716.16</v>
      </c>
      <c r="K68">
        <v>1398.99</v>
      </c>
    </row>
    <row r="69" spans="1:11">
      <c r="A69" s="4" t="s">
        <v>87</v>
      </c>
      <c r="B69">
        <v>253.03</v>
      </c>
      <c r="C69">
        <v>244.1</v>
      </c>
      <c r="D69">
        <v>317.29000000000002</v>
      </c>
      <c r="E69">
        <v>243.3</v>
      </c>
      <c r="F69">
        <v>324.88</v>
      </c>
      <c r="G69">
        <v>1321.76</v>
      </c>
      <c r="H69">
        <v>271.83999999999997</v>
      </c>
      <c r="I69">
        <v>471.9</v>
      </c>
      <c r="J69">
        <v>1205.82</v>
      </c>
      <c r="K69">
        <v>1124.1300000000001</v>
      </c>
    </row>
    <row r="70" spans="1:11">
      <c r="A70" s="4" t="s">
        <v>74</v>
      </c>
      <c r="B70">
        <v>122576878</v>
      </c>
      <c r="C70">
        <v>122576878</v>
      </c>
      <c r="D70">
        <v>122576878</v>
      </c>
      <c r="E70">
        <v>122576878</v>
      </c>
      <c r="F70">
        <v>122576878</v>
      </c>
      <c r="G70">
        <v>134834566</v>
      </c>
      <c r="H70">
        <v>131940604</v>
      </c>
      <c r="I70">
        <v>131940604</v>
      </c>
      <c r="J70">
        <v>110498261</v>
      </c>
      <c r="K70">
        <v>111877754</v>
      </c>
    </row>
    <row r="71" spans="1:11">
      <c r="A71" s="4" t="s">
        <v>75</v>
      </c>
    </row>
    <row r="72" spans="1:11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>
      <c r="A74" s="6"/>
    </row>
    <row r="75" spans="1:11">
      <c r="A75" s="6"/>
    </row>
    <row r="76" spans="1:11">
      <c r="A76" s="6"/>
    </row>
    <row r="77" spans="1:11">
      <c r="A77" s="6"/>
    </row>
    <row r="78" spans="1:11">
      <c r="A78" s="6"/>
    </row>
    <row r="79" spans="1:11">
      <c r="A79" s="6"/>
    </row>
    <row r="80" spans="1:11">
      <c r="A80" s="1" t="s">
        <v>41</v>
      </c>
    </row>
    <row r="81" spans="1:11" s="18" customFormat="1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>
      <c r="A82" s="6" t="s">
        <v>32</v>
      </c>
      <c r="B82">
        <v>212.24</v>
      </c>
      <c r="C82">
        <v>303.83</v>
      </c>
      <c r="D82">
        <v>460.08</v>
      </c>
      <c r="E82">
        <v>-234.31</v>
      </c>
      <c r="F82">
        <v>797.16</v>
      </c>
      <c r="G82">
        <v>1128.6600000000001</v>
      </c>
      <c r="H82">
        <v>32.28</v>
      </c>
      <c r="I82">
        <v>223.91</v>
      </c>
      <c r="J82">
        <v>788.6</v>
      </c>
      <c r="K82">
        <v>1003.19</v>
      </c>
    </row>
    <row r="83" spans="1:11" s="6" customFormat="1">
      <c r="A83" s="6" t="s">
        <v>33</v>
      </c>
      <c r="B83">
        <v>-44.09</v>
      </c>
      <c r="C83">
        <v>-154.61000000000001</v>
      </c>
      <c r="D83">
        <v>-374.18</v>
      </c>
      <c r="E83">
        <v>-17.66</v>
      </c>
      <c r="F83">
        <v>-420.87</v>
      </c>
      <c r="G83">
        <v>-2195.15</v>
      </c>
      <c r="H83">
        <v>-1856.39</v>
      </c>
      <c r="I83">
        <v>-62.05</v>
      </c>
      <c r="J83">
        <v>-759.06</v>
      </c>
      <c r="K83">
        <v>-193.85</v>
      </c>
    </row>
    <row r="84" spans="1:11" s="6" customFormat="1">
      <c r="A84" s="6" t="s">
        <v>34</v>
      </c>
      <c r="B84">
        <v>-190.89</v>
      </c>
      <c r="C84">
        <v>-113.12</v>
      </c>
      <c r="D84">
        <v>-0.99</v>
      </c>
      <c r="E84">
        <v>190.89</v>
      </c>
      <c r="F84">
        <v>-300.45</v>
      </c>
      <c r="G84">
        <v>1003.34</v>
      </c>
      <c r="H84">
        <v>1809.88</v>
      </c>
      <c r="I84">
        <v>-71.22</v>
      </c>
      <c r="J84">
        <v>24.77</v>
      </c>
      <c r="K84">
        <v>-701.86</v>
      </c>
    </row>
    <row r="85" spans="1:11" s="1" customFormat="1">
      <c r="A85" s="6" t="s">
        <v>35</v>
      </c>
      <c r="B85">
        <v>-22.74</v>
      </c>
      <c r="C85">
        <v>36.1</v>
      </c>
      <c r="D85">
        <v>84.91</v>
      </c>
      <c r="E85">
        <v>-61.08</v>
      </c>
      <c r="F85">
        <v>75.84</v>
      </c>
      <c r="G85">
        <v>-63.15</v>
      </c>
      <c r="H85">
        <v>-14.23</v>
      </c>
      <c r="I85">
        <v>90.64</v>
      </c>
      <c r="J85">
        <v>54.31</v>
      </c>
      <c r="K85">
        <v>107.48</v>
      </c>
    </row>
    <row r="86" spans="1:11">
      <c r="A86" s="6"/>
    </row>
    <row r="87" spans="1:11">
      <c r="A87" s="6"/>
    </row>
    <row r="88" spans="1:11">
      <c r="A88" s="6"/>
    </row>
    <row r="89" spans="1:11">
      <c r="A89" s="6"/>
    </row>
    <row r="90" spans="1:11" s="1" customFormat="1">
      <c r="A90" s="1" t="s">
        <v>77</v>
      </c>
      <c r="B90">
        <v>139.25</v>
      </c>
      <c r="C90">
        <v>538.75</v>
      </c>
      <c r="D90">
        <v>818.1</v>
      </c>
      <c r="E90">
        <v>796.05</v>
      </c>
      <c r="F90">
        <v>662.6</v>
      </c>
      <c r="G90">
        <v>1287.8</v>
      </c>
      <c r="H90">
        <v>1690.85</v>
      </c>
      <c r="I90">
        <v>1891.05</v>
      </c>
      <c r="J90">
        <v>2777.3</v>
      </c>
      <c r="K90">
        <v>3250.05</v>
      </c>
    </row>
    <row r="92" spans="1:11" s="1" customFormat="1">
      <c r="A92" s="1" t="s">
        <v>76</v>
      </c>
    </row>
    <row r="93" spans="1:11">
      <c r="A93" s="4" t="s">
        <v>89</v>
      </c>
      <c r="B93" s="24">
        <v>12.26</v>
      </c>
      <c r="C93" s="24">
        <v>12.26</v>
      </c>
      <c r="D93" s="24">
        <v>12.26</v>
      </c>
      <c r="E93" s="24">
        <v>12.26</v>
      </c>
      <c r="F93" s="24">
        <v>12.26</v>
      </c>
      <c r="G93" s="24">
        <v>13.48</v>
      </c>
      <c r="H93" s="24">
        <v>13.19</v>
      </c>
      <c r="I93" s="24">
        <v>13.19</v>
      </c>
      <c r="J93" s="24">
        <v>11.05</v>
      </c>
      <c r="K93" s="24">
        <v>11.19</v>
      </c>
    </row>
  </sheetData>
  <mergeCells count="2">
    <mergeCell ref="E1:K1"/>
    <mergeCell ref="E2:K2"/>
  </mergeCells>
  <conditionalFormatting sqref="E1:K1">
    <cfRule type="cellIs" dxfId="11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5FA6-A034-4E87-84B9-6D9D295A5702}">
  <sheetPr>
    <tabColor rgb="FF92D050"/>
  </sheetPr>
  <dimension ref="A2:Q98"/>
  <sheetViews>
    <sheetView tabSelected="1" zoomScale="75" zoomScaleNormal="90" workbookViewId="0">
      <pane ySplit="3" topLeftCell="A4" activePane="bottomLeft" state="frozen"/>
      <selection pane="bottomLeft" activeCell="C18" sqref="C18"/>
    </sheetView>
  </sheetViews>
  <sheetFormatPr defaultColWidth="8.90625" defaultRowHeight="14.5"/>
  <cols>
    <col min="1" max="1" width="1.90625" style="25" customWidth="1"/>
    <col min="2" max="2" width="54.453125" style="25" bestFit="1" customWidth="1"/>
    <col min="3" max="7" width="10.453125" style="25" bestFit="1" customWidth="1"/>
    <col min="8" max="9" width="11.08984375" style="25" bestFit="1" customWidth="1"/>
    <col min="10" max="12" width="11.54296875" style="25" bestFit="1" customWidth="1"/>
    <col min="13" max="13" width="10.453125" style="25" bestFit="1" customWidth="1"/>
    <col min="14" max="16384" width="8.90625" style="25"/>
  </cols>
  <sheetData>
    <row r="2" spans="1:13">
      <c r="B2" s="27" t="str">
        <f>"HISTORICAL FINANCIAL STATEMENT - "&amp;'Data Sheet'!B1</f>
        <v>HISTORICAL FINANCIAL STATEMENT - ESCORTS KUBOTA LTD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>
      <c r="B3" s="27" t="s">
        <v>93</v>
      </c>
      <c r="C3" s="28">
        <f>'Data Sheet'!B16</f>
        <v>42460</v>
      </c>
      <c r="D3" s="28">
        <f>'Data Sheet'!C16</f>
        <v>42825</v>
      </c>
      <c r="E3" s="28">
        <f>'Data Sheet'!D16</f>
        <v>43190</v>
      </c>
      <c r="F3" s="28">
        <f>'Data Sheet'!E16</f>
        <v>43555</v>
      </c>
      <c r="G3" s="28">
        <f>'Data Sheet'!F16</f>
        <v>43921</v>
      </c>
      <c r="H3" s="28">
        <f>'Data Sheet'!G16</f>
        <v>44286</v>
      </c>
      <c r="I3" s="28">
        <f>'Data Sheet'!H16</f>
        <v>44651</v>
      </c>
      <c r="J3" s="28">
        <f>'Data Sheet'!I16</f>
        <v>45016</v>
      </c>
      <c r="K3" s="28">
        <f>'Data Sheet'!J16</f>
        <v>45382</v>
      </c>
      <c r="L3" s="28">
        <f>'Data Sheet'!K16</f>
        <v>45747</v>
      </c>
      <c r="M3" s="29" t="s">
        <v>94</v>
      </c>
    </row>
    <row r="4" spans="1:13">
      <c r="A4" s="30" t="s">
        <v>95</v>
      </c>
      <c r="B4" s="42" t="s">
        <v>96</v>
      </c>
      <c r="C4" s="43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>
      <c r="B5" s="30" t="s">
        <v>100</v>
      </c>
      <c r="C5" s="35">
        <f>IFERROR('Data Sheet'!B17,0)</f>
        <v>3431.99</v>
      </c>
      <c r="D5" s="35">
        <f>IFERROR('Data Sheet'!C17,0)</f>
        <v>4145.33</v>
      </c>
      <c r="E5" s="35">
        <f>IFERROR('Data Sheet'!D17,0)</f>
        <v>5059.34</v>
      </c>
      <c r="F5" s="35">
        <f>IFERROR('Data Sheet'!E17,0)</f>
        <v>6262.02</v>
      </c>
      <c r="G5" s="35">
        <f>IFERROR('Data Sheet'!F17,0)</f>
        <v>5810.09</v>
      </c>
      <c r="H5" s="35">
        <f>IFERROR('Data Sheet'!G17,0)</f>
        <v>7014.42</v>
      </c>
      <c r="I5" s="35">
        <f>IFERROR('Data Sheet'!H17,0)</f>
        <v>7282.65</v>
      </c>
      <c r="J5" s="35">
        <f>IFERROR('Data Sheet'!I17,0)</f>
        <v>8428.69</v>
      </c>
      <c r="K5" s="35">
        <f>IFERROR('Data Sheet'!J17,0)</f>
        <v>9803.59</v>
      </c>
      <c r="L5" s="35">
        <f>IFERROR('Data Sheet'!K17,0)</f>
        <v>10243.879999999999</v>
      </c>
      <c r="M5" s="30">
        <f>IFERROR(SUM('Data Sheet'!H42:K42),0)</f>
        <v>10488.54</v>
      </c>
    </row>
    <row r="6" spans="1:13">
      <c r="B6" s="31" t="s">
        <v>100</v>
      </c>
      <c r="C6" s="33" t="s">
        <v>97</v>
      </c>
      <c r="D6" s="34">
        <f>D5/C5-1</f>
        <v>0.20785025597393947</v>
      </c>
      <c r="E6" s="34">
        <f t="shared" ref="E6:M6" si="0">E5/D5-1</f>
        <v>0.22049149283651737</v>
      </c>
      <c r="F6" s="34">
        <f>F5/E5-1</f>
        <v>0.23771480074476115</v>
      </c>
      <c r="G6" s="34">
        <f t="shared" si="0"/>
        <v>-7.2170002650901788E-2</v>
      </c>
      <c r="H6" s="34">
        <f t="shared" si="0"/>
        <v>0.20728250336913878</v>
      </c>
      <c r="I6" s="34">
        <f t="shared" si="0"/>
        <v>3.8239797445833057E-2</v>
      </c>
      <c r="J6" s="34">
        <f t="shared" si="0"/>
        <v>0.15736579404475037</v>
      </c>
      <c r="K6" s="34">
        <f t="shared" si="0"/>
        <v>0.16312143405440227</v>
      </c>
      <c r="L6" s="34">
        <f t="shared" si="0"/>
        <v>4.4911098893364532E-2</v>
      </c>
      <c r="M6" s="34">
        <f t="shared" si="0"/>
        <v>2.3883528506776885E-2</v>
      </c>
    </row>
    <row r="8" spans="1:13">
      <c r="B8" s="30" t="s">
        <v>98</v>
      </c>
      <c r="C8" s="35">
        <f>IFERROR(SUM('Data Sheet'!B18,'Data Sheet'!B20,'Data Sheet'!B21,'Data Sheet'!B22)-1*'Data Sheet'!B19,0)</f>
        <v>2932.37</v>
      </c>
      <c r="D8" s="35">
        <f>IFERROR(SUM('Data Sheet'!C18,'Data Sheet'!C20,'Data Sheet'!C21,'Data Sheet'!C22)-1*'Data Sheet'!C19,0)</f>
        <v>3429.9800000000005</v>
      </c>
      <c r="E8" s="35">
        <f>IFERROR(SUM('Data Sheet'!D18,'Data Sheet'!D20,'Data Sheet'!D21,'Data Sheet'!D22)-1*'Data Sheet'!D19,0)</f>
        <v>4073.4999999999995</v>
      </c>
      <c r="F8" s="35">
        <f>IFERROR(SUM('Data Sheet'!E18,'Data Sheet'!E20,'Data Sheet'!E21,'Data Sheet'!E22)-1*'Data Sheet'!E19,0)</f>
        <v>5030.5600000000004</v>
      </c>
      <c r="G8" s="35">
        <f>IFERROR(SUM('Data Sheet'!F18,'Data Sheet'!F20,'Data Sheet'!F21,'Data Sheet'!F22)-1*'Data Sheet'!F19,0)</f>
        <v>4613.3599999999997</v>
      </c>
      <c r="H8" s="35">
        <f>IFERROR(SUM('Data Sheet'!G18,'Data Sheet'!G20,'Data Sheet'!G21,'Data Sheet'!G22)-1*'Data Sheet'!G19,0)</f>
        <v>5443.16</v>
      </c>
      <c r="I8" s="35">
        <f>IFERROR(SUM('Data Sheet'!H18,'Data Sheet'!H20,'Data Sheet'!H21,'Data Sheet'!H22)-1*'Data Sheet'!H19,0)</f>
        <v>5800.92</v>
      </c>
      <c r="J8" s="35">
        <f>IFERROR(SUM('Data Sheet'!I18,'Data Sheet'!I20,'Data Sheet'!I21,'Data Sheet'!I22)-1*'Data Sheet'!I19,0)</f>
        <v>7072.2</v>
      </c>
      <c r="K8" s="35">
        <f>IFERROR(SUM('Data Sheet'!J18,'Data Sheet'!J20,'Data Sheet'!J21,'Data Sheet'!J22)-1*'Data Sheet'!J19,0)</f>
        <v>8066.7400000000007</v>
      </c>
      <c r="L8" s="35">
        <f>IFERROR(SUM('Data Sheet'!K18,'Data Sheet'!K20,'Data Sheet'!K21,'Data Sheet'!K22)-1*'Data Sheet'!K19,0)</f>
        <v>8467.7900000000009</v>
      </c>
      <c r="M8" s="36">
        <f>IFERROR(SUM('Data Sheet'!H43:K43),0)</f>
        <v>9271.7900000000009</v>
      </c>
    </row>
    <row r="9" spans="1:13">
      <c r="B9" s="31" t="s">
        <v>99</v>
      </c>
      <c r="C9" s="34">
        <f>C8/C5</f>
        <v>0.85442265274665719</v>
      </c>
      <c r="D9" s="34">
        <f t="shared" ref="D9:L9" si="1">D8/D5</f>
        <v>0.82743231540070405</v>
      </c>
      <c r="E9" s="34">
        <f t="shared" si="1"/>
        <v>0.80514454454533579</v>
      </c>
      <c r="F9" s="34">
        <f t="shared" si="1"/>
        <v>0.80334460765056648</v>
      </c>
      <c r="G9" s="34">
        <f t="shared" si="1"/>
        <v>0.79402556586903117</v>
      </c>
      <c r="H9" s="34">
        <f t="shared" si="1"/>
        <v>0.77599573450121317</v>
      </c>
      <c r="I9" s="34">
        <f t="shared" si="1"/>
        <v>0.79653972111799964</v>
      </c>
      <c r="J9" s="34">
        <f t="shared" si="1"/>
        <v>0.83906277250675954</v>
      </c>
      <c r="K9" s="34">
        <f t="shared" si="1"/>
        <v>0.82283530829012641</v>
      </c>
      <c r="L9" s="34">
        <f t="shared" si="1"/>
        <v>0.82661940592822269</v>
      </c>
      <c r="M9" s="32" t="s">
        <v>97</v>
      </c>
    </row>
    <row r="11" spans="1:13">
      <c r="B11" s="52" t="s">
        <v>101</v>
      </c>
      <c r="C11" s="53">
        <f>C5-C8</f>
        <v>499.61999999999989</v>
      </c>
      <c r="D11" s="53">
        <f t="shared" ref="D11:M11" si="2">D5-D8</f>
        <v>715.34999999999945</v>
      </c>
      <c r="E11" s="53">
        <f t="shared" si="2"/>
        <v>985.8400000000006</v>
      </c>
      <c r="F11" s="53">
        <f t="shared" si="2"/>
        <v>1231.46</v>
      </c>
      <c r="G11" s="53">
        <f t="shared" si="2"/>
        <v>1196.7300000000005</v>
      </c>
      <c r="H11" s="53">
        <f t="shared" si="2"/>
        <v>1571.2600000000002</v>
      </c>
      <c r="I11" s="53">
        <f t="shared" si="2"/>
        <v>1481.7299999999996</v>
      </c>
      <c r="J11" s="53">
        <f t="shared" si="2"/>
        <v>1356.4900000000007</v>
      </c>
      <c r="K11" s="53">
        <f t="shared" si="2"/>
        <v>1736.8499999999995</v>
      </c>
      <c r="L11" s="53">
        <f t="shared" si="2"/>
        <v>1776.0899999999983</v>
      </c>
      <c r="M11" s="53">
        <f t="shared" si="2"/>
        <v>1216.75</v>
      </c>
    </row>
    <row r="12" spans="1:13">
      <c r="B12" s="38" t="s">
        <v>110</v>
      </c>
      <c r="C12" s="40">
        <f>C11/C5</f>
        <v>0.14557734725334279</v>
      </c>
      <c r="D12" s="40">
        <f t="shared" ref="D12:M12" si="3">D11/D5</f>
        <v>0.17256768459929595</v>
      </c>
      <c r="E12" s="40">
        <f t="shared" si="3"/>
        <v>0.19485545545466415</v>
      </c>
      <c r="F12" s="40">
        <f t="shared" si="3"/>
        <v>0.19665539234943355</v>
      </c>
      <c r="G12" s="40">
        <f t="shared" si="3"/>
        <v>0.20597443413096878</v>
      </c>
      <c r="H12" s="40">
        <f t="shared" si="3"/>
        <v>0.22400426549878683</v>
      </c>
      <c r="I12" s="40">
        <f t="shared" si="3"/>
        <v>0.20346027888200033</v>
      </c>
      <c r="J12" s="40">
        <f t="shared" si="3"/>
        <v>0.16093722749324041</v>
      </c>
      <c r="K12" s="40">
        <f t="shared" si="3"/>
        <v>0.17716469170987356</v>
      </c>
      <c r="L12" s="40">
        <f t="shared" si="3"/>
        <v>0.17338059407177733</v>
      </c>
      <c r="M12" s="40">
        <f t="shared" si="3"/>
        <v>0.11600756635337234</v>
      </c>
    </row>
    <row r="14" spans="1:13">
      <c r="B14" s="30" t="s">
        <v>102</v>
      </c>
      <c r="C14" s="35">
        <f>IFERROR(SUM('Data Sheet'!B23,'Data Sheet'!B24),0)</f>
        <v>338.67</v>
      </c>
      <c r="D14" s="35">
        <f>IFERROR(SUM('Data Sheet'!C23,'Data Sheet'!C24),0)</f>
        <v>447.57000000000005</v>
      </c>
      <c r="E14" s="35">
        <f>IFERROR(SUM('Data Sheet'!D23,'Data Sheet'!D24),0)</f>
        <v>432.49</v>
      </c>
      <c r="F14" s="35">
        <f>IFERROR(SUM('Data Sheet'!E23,'Data Sheet'!E24),0)</f>
        <v>508.89</v>
      </c>
      <c r="G14" s="35">
        <f>IFERROR(SUM('Data Sheet'!F23,'Data Sheet'!F24),0)</f>
        <v>535.41</v>
      </c>
      <c r="H14" s="35">
        <f>IFERROR(SUM('Data Sheet'!G23,'Data Sheet'!G24),0)</f>
        <v>445.24</v>
      </c>
      <c r="I14" s="35">
        <f>IFERROR(SUM('Data Sheet'!H23,'Data Sheet'!H24),0)</f>
        <v>515.67000000000007</v>
      </c>
      <c r="J14" s="35">
        <f>IFERROR(SUM('Data Sheet'!I23,'Data Sheet'!I24),0)</f>
        <v>586.45000000000005</v>
      </c>
      <c r="K14" s="35">
        <f>IFERROR(SUM('Data Sheet'!J23,'Data Sheet'!J24),0)</f>
        <v>606.48</v>
      </c>
      <c r="L14" s="35">
        <f>IFERROR(SUM('Data Sheet'!K23,'Data Sheet'!K24),0)</f>
        <v>611.9</v>
      </c>
    </row>
    <row r="15" spans="1:13">
      <c r="B15" s="31" t="s">
        <v>103</v>
      </c>
      <c r="C15" s="37">
        <f t="shared" ref="C15:M15" si="4">C14/C5</f>
        <v>9.8680357460249016E-2</v>
      </c>
      <c r="D15" s="37">
        <f t="shared" si="4"/>
        <v>0.10796969119466968</v>
      </c>
      <c r="E15" s="37">
        <f t="shared" si="4"/>
        <v>8.5483482035206171E-2</v>
      </c>
      <c r="F15" s="37">
        <f t="shared" si="4"/>
        <v>8.1266109019134392E-2</v>
      </c>
      <c r="G15" s="37">
        <f t="shared" si="4"/>
        <v>9.215175668535254E-2</v>
      </c>
      <c r="H15" s="37">
        <f t="shared" si="4"/>
        <v>6.347495587660848E-2</v>
      </c>
      <c r="I15" s="37">
        <f t="shared" si="4"/>
        <v>7.0808016312743319E-2</v>
      </c>
      <c r="J15" s="37">
        <f t="shared" si="4"/>
        <v>6.9577834752494155E-2</v>
      </c>
      <c r="K15" s="37">
        <f t="shared" si="4"/>
        <v>6.1863052208425688E-2</v>
      </c>
      <c r="L15" s="37">
        <f t="shared" si="4"/>
        <v>5.9733226082304754E-2</v>
      </c>
      <c r="M15" s="37">
        <f t="shared" si="4"/>
        <v>0</v>
      </c>
    </row>
    <row r="17" spans="2:17">
      <c r="B17" s="52" t="s">
        <v>104</v>
      </c>
      <c r="C17" s="53">
        <f>C11-C14</f>
        <v>160.94999999999987</v>
      </c>
      <c r="D17" s="53">
        <f t="shared" ref="D17:M17" si="5">D11-D14</f>
        <v>267.7799999999994</v>
      </c>
      <c r="E17" s="53">
        <f t="shared" si="5"/>
        <v>553.35000000000059</v>
      </c>
      <c r="F17" s="53">
        <f t="shared" si="5"/>
        <v>722.57</v>
      </c>
      <c r="G17" s="53">
        <f t="shared" si="5"/>
        <v>661.3200000000005</v>
      </c>
      <c r="H17" s="53">
        <f t="shared" si="5"/>
        <v>1126.0200000000002</v>
      </c>
      <c r="I17" s="53">
        <f t="shared" si="5"/>
        <v>966.05999999999949</v>
      </c>
      <c r="J17" s="53">
        <f t="shared" si="5"/>
        <v>770.04000000000065</v>
      </c>
      <c r="K17" s="53">
        <f t="shared" si="5"/>
        <v>1130.3699999999994</v>
      </c>
      <c r="L17" s="53">
        <f t="shared" si="5"/>
        <v>1164.1899999999982</v>
      </c>
      <c r="M17" s="53">
        <f t="shared" si="5"/>
        <v>1216.75</v>
      </c>
      <c r="N17" s="35"/>
      <c r="O17" s="35"/>
      <c r="P17" s="35"/>
      <c r="Q17" s="35"/>
    </row>
    <row r="18" spans="2:17">
      <c r="B18" s="38" t="s">
        <v>106</v>
      </c>
      <c r="C18" s="39">
        <f t="shared" ref="C18:M18" si="6">C17/C5</f>
        <v>4.6896989793093771E-2</v>
      </c>
      <c r="D18" s="39">
        <f t="shared" si="6"/>
        <v>6.4597993404626269E-2</v>
      </c>
      <c r="E18" s="39">
        <f t="shared" si="6"/>
        <v>0.10937197341945799</v>
      </c>
      <c r="F18" s="39">
        <f t="shared" si="6"/>
        <v>0.11538928333029917</v>
      </c>
      <c r="G18" s="39">
        <f t="shared" si="6"/>
        <v>0.11382267744561625</v>
      </c>
      <c r="H18" s="39">
        <f t="shared" si="6"/>
        <v>0.16052930962217835</v>
      </c>
      <c r="I18" s="39">
        <f t="shared" si="6"/>
        <v>0.132652262569257</v>
      </c>
      <c r="J18" s="39">
        <f t="shared" si="6"/>
        <v>9.1359392740746267E-2</v>
      </c>
      <c r="K18" s="39">
        <f t="shared" si="6"/>
        <v>0.11530163950144788</v>
      </c>
      <c r="L18" s="39">
        <f t="shared" si="6"/>
        <v>0.11364736798947257</v>
      </c>
      <c r="M18" s="39">
        <f t="shared" si="6"/>
        <v>0.11600756635337234</v>
      </c>
    </row>
    <row r="20" spans="2:17">
      <c r="B20" s="35" t="s">
        <v>105</v>
      </c>
      <c r="C20" s="35">
        <f>IFERROR('Data Sheet'!B27,0)</f>
        <v>51.06</v>
      </c>
      <c r="D20" s="35">
        <f>IFERROR('Data Sheet'!C27,0)</f>
        <v>32.21</v>
      </c>
      <c r="E20" s="35">
        <f>IFERROR('Data Sheet'!D27,0)</f>
        <v>29.49</v>
      </c>
      <c r="F20" s="35">
        <f>IFERROR('Data Sheet'!E27,0)</f>
        <v>19.54</v>
      </c>
      <c r="G20" s="35">
        <f>IFERROR('Data Sheet'!F27,0)</f>
        <v>17.23</v>
      </c>
      <c r="H20" s="35">
        <f>IFERROR('Data Sheet'!G27,0)</f>
        <v>13.34</v>
      </c>
      <c r="I20" s="35">
        <f>IFERROR('Data Sheet'!H27,0)</f>
        <v>14.97</v>
      </c>
      <c r="J20" s="35">
        <f>IFERROR('Data Sheet'!I27,0)</f>
        <v>13.27</v>
      </c>
      <c r="K20" s="35">
        <f>IFERROR('Data Sheet'!J27,0)</f>
        <v>41.66</v>
      </c>
      <c r="L20" s="35">
        <f>IFERROR('Data Sheet'!K27,0)</f>
        <v>29.17</v>
      </c>
      <c r="M20" s="35">
        <f>IFERROR(SUM('Data Sheet'!H46:K46),0)</f>
        <v>29.2</v>
      </c>
    </row>
    <row r="21" spans="2:17">
      <c r="B21" s="38" t="s">
        <v>107</v>
      </c>
      <c r="C21" s="40">
        <f t="shared" ref="C21:M21" si="7">C20/C5</f>
        <v>1.4877665727464242E-2</v>
      </c>
      <c r="D21" s="40">
        <f t="shared" si="7"/>
        <v>7.7701895868362717E-3</v>
      </c>
      <c r="E21" s="40">
        <f t="shared" si="7"/>
        <v>5.8288235224357322E-3</v>
      </c>
      <c r="F21" s="40">
        <f t="shared" si="7"/>
        <v>3.1203988489337301E-3</v>
      </c>
      <c r="G21" s="40">
        <f t="shared" si="7"/>
        <v>2.9655306544304821E-3</v>
      </c>
      <c r="H21" s="40">
        <f t="shared" si="7"/>
        <v>1.9017965847497012E-3</v>
      </c>
      <c r="I21" s="40">
        <f t="shared" si="7"/>
        <v>2.0555704310930775E-3</v>
      </c>
      <c r="J21" s="40">
        <f t="shared" si="7"/>
        <v>1.5743846315382341E-3</v>
      </c>
      <c r="K21" s="40">
        <f t="shared" si="7"/>
        <v>4.2494637168629043E-3</v>
      </c>
      <c r="L21" s="40">
        <f t="shared" si="7"/>
        <v>2.8475538565465434E-3</v>
      </c>
      <c r="M21" s="40">
        <f t="shared" si="7"/>
        <v>2.7839909081721569E-3</v>
      </c>
    </row>
    <row r="23" spans="2:17">
      <c r="B23" s="30" t="s">
        <v>108</v>
      </c>
      <c r="C23" s="35">
        <f>IFERROR('Data Sheet'!B26,0)</f>
        <v>58.13</v>
      </c>
      <c r="D23" s="35">
        <f>IFERROR('Data Sheet'!C26,0)</f>
        <v>63.42</v>
      </c>
      <c r="E23" s="35">
        <f>IFERROR('Data Sheet'!D26,0)</f>
        <v>73.22</v>
      </c>
      <c r="F23" s="35">
        <f>IFERROR('Data Sheet'!E26,0)</f>
        <v>87.21</v>
      </c>
      <c r="G23" s="35">
        <f>IFERROR('Data Sheet'!F26,0)</f>
        <v>107.22</v>
      </c>
      <c r="H23" s="35">
        <f>IFERROR('Data Sheet'!G26,0)</f>
        <v>118.28</v>
      </c>
      <c r="I23" s="35">
        <f>IFERROR('Data Sheet'!H26,0)</f>
        <v>132.06</v>
      </c>
      <c r="J23" s="35">
        <f>IFERROR('Data Sheet'!I26,0)</f>
        <v>150.06</v>
      </c>
      <c r="K23" s="35">
        <f>IFERROR('Data Sheet'!J26,0)</f>
        <v>224.06</v>
      </c>
      <c r="L23" s="35">
        <f>IFERROR('Data Sheet'!K26,0)</f>
        <v>243.65</v>
      </c>
      <c r="M23" s="35">
        <f>IFERROR(SUM('Data Sheet'!H45:K45),0)</f>
        <v>246.20000000000002</v>
      </c>
    </row>
    <row r="24" spans="2:17">
      <c r="B24" s="38" t="s">
        <v>109</v>
      </c>
      <c r="C24" s="40">
        <f t="shared" ref="C24:M24" si="8">C23/C5</f>
        <v>1.6937695039903965E-2</v>
      </c>
      <c r="D24" s="40">
        <f t="shared" si="8"/>
        <v>1.5299143855857074E-2</v>
      </c>
      <c r="E24" s="40">
        <f t="shared" si="8"/>
        <v>1.4472243415149012E-2</v>
      </c>
      <c r="F24" s="40">
        <f t="shared" si="8"/>
        <v>1.3926815947569633E-2</v>
      </c>
      <c r="G24" s="40">
        <f t="shared" si="8"/>
        <v>1.8454103120605705E-2</v>
      </c>
      <c r="H24" s="40">
        <f t="shared" si="8"/>
        <v>1.6862406300164518E-2</v>
      </c>
      <c r="I24" s="40">
        <f t="shared" si="8"/>
        <v>1.8133509093530516E-2</v>
      </c>
      <c r="J24" s="40">
        <f t="shared" si="8"/>
        <v>1.780347835784683E-2</v>
      </c>
      <c r="K24" s="40">
        <f t="shared" si="8"/>
        <v>2.2854892952479652E-2</v>
      </c>
      <c r="L24" s="40">
        <f t="shared" si="8"/>
        <v>2.37849330527105E-2</v>
      </c>
      <c r="M24" s="40">
        <f t="shared" si="8"/>
        <v>2.3473238410684424E-2</v>
      </c>
    </row>
    <row r="25" spans="2:17">
      <c r="F25" s="30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</row>
    <row r="26" spans="2:17">
      <c r="B26" s="52" t="s">
        <v>111</v>
      </c>
      <c r="C26" s="53">
        <f>IFERROR(C17-SUM(C20,C23),0)</f>
        <v>51.759999999999877</v>
      </c>
      <c r="D26" s="53">
        <f t="shared" ref="D26:M26" si="9">IFERROR(D17-SUM(D20,D23),0)</f>
        <v>172.14999999999941</v>
      </c>
      <c r="E26" s="53">
        <f t="shared" si="9"/>
        <v>450.64000000000061</v>
      </c>
      <c r="F26" s="53">
        <f t="shared" si="9"/>
        <v>615.82000000000005</v>
      </c>
      <c r="G26" s="53">
        <f t="shared" si="9"/>
        <v>536.87000000000046</v>
      </c>
      <c r="H26" s="53">
        <f t="shared" si="9"/>
        <v>994.4000000000002</v>
      </c>
      <c r="I26" s="53">
        <f t="shared" si="9"/>
        <v>819.02999999999952</v>
      </c>
      <c r="J26" s="53">
        <f t="shared" si="9"/>
        <v>606.7100000000006</v>
      </c>
      <c r="K26" s="53">
        <f t="shared" si="9"/>
        <v>864.64999999999941</v>
      </c>
      <c r="L26" s="53">
        <f t="shared" si="9"/>
        <v>891.3699999999983</v>
      </c>
      <c r="M26" s="53">
        <f t="shared" si="9"/>
        <v>941.34999999999991</v>
      </c>
      <c r="N26" s="30"/>
      <c r="O26" s="30"/>
      <c r="P26" s="30"/>
      <c r="Q26" s="30"/>
    </row>
    <row r="27" spans="2:17">
      <c r="B27" s="38" t="s">
        <v>112</v>
      </c>
      <c r="C27" s="40">
        <f>C26/C5</f>
        <v>1.5081629025725565E-2</v>
      </c>
      <c r="D27" s="40">
        <f t="shared" ref="D27:M27" si="10">D26/D5</f>
        <v>4.1528659961932925E-2</v>
      </c>
      <c r="E27" s="40">
        <f t="shared" si="10"/>
        <v>8.9070906481873255E-2</v>
      </c>
      <c r="F27" s="40">
        <f t="shared" si="10"/>
        <v>9.8342068533795804E-2</v>
      </c>
      <c r="G27" s="40">
        <f t="shared" si="10"/>
        <v>9.2403043670580054E-2</v>
      </c>
      <c r="H27" s="40">
        <f t="shared" si="10"/>
        <v>0.14176510673726411</v>
      </c>
      <c r="I27" s="40">
        <f t="shared" si="10"/>
        <v>0.11246318304463342</v>
      </c>
      <c r="J27" s="40">
        <f t="shared" si="10"/>
        <v>7.1981529751361198E-2</v>
      </c>
      <c r="K27" s="40">
        <f t="shared" si="10"/>
        <v>8.8197282832105317E-2</v>
      </c>
      <c r="L27" s="40">
        <f t="shared" si="10"/>
        <v>8.7014881080215545E-2</v>
      </c>
      <c r="M27" s="40">
        <f t="shared" si="10"/>
        <v>8.9750337034515751E-2</v>
      </c>
    </row>
    <row r="29" spans="2:17">
      <c r="B29" s="30" t="s">
        <v>113</v>
      </c>
      <c r="C29" s="35">
        <f>IFERROR('Data Sheet'!B29,0)</f>
        <v>12.27</v>
      </c>
      <c r="D29" s="35">
        <f>IFERROR('Data Sheet'!C29,0)</f>
        <v>77.25</v>
      </c>
      <c r="E29" s="35">
        <f>IFERROR('Data Sheet'!D29,0)</f>
        <v>162.49</v>
      </c>
      <c r="F29" s="35">
        <f>IFERROR('Data Sheet'!E29,0)</f>
        <v>237.11</v>
      </c>
      <c r="G29" s="35">
        <f>IFERROR('Data Sheet'!F29,0)</f>
        <v>153.53</v>
      </c>
      <c r="H29" s="35">
        <f>IFERROR('Data Sheet'!G29,0)</f>
        <v>283.14999999999998</v>
      </c>
      <c r="I29" s="35">
        <f>IFERROR('Data Sheet'!H29,0)</f>
        <v>257.22000000000003</v>
      </c>
      <c r="J29" s="35">
        <f>IFERROR('Data Sheet'!I29,0)</f>
        <v>197.94</v>
      </c>
      <c r="K29" s="35">
        <f>IFERROR('Data Sheet'!J29,0)</f>
        <v>313.39999999999998</v>
      </c>
      <c r="L29" s="35">
        <f>IFERROR('Data Sheet'!K29,0)</f>
        <v>226.95</v>
      </c>
      <c r="M29" s="35">
        <f>IFERROR(SUM('Data Sheet'!H48:K48),0)</f>
        <v>239.69</v>
      </c>
    </row>
    <row r="30" spans="2:17">
      <c r="B30" s="38" t="s">
        <v>114</v>
      </c>
      <c r="C30" s="41">
        <f>C29/C26</f>
        <v>0.23705564142194802</v>
      </c>
      <c r="D30" s="41">
        <f t="shared" ref="D30:M30" si="11">D29/D26</f>
        <v>0.44873656694743108</v>
      </c>
      <c r="E30" s="41">
        <f t="shared" si="11"/>
        <v>0.36057606958991612</v>
      </c>
      <c r="F30" s="41">
        <f t="shared" si="11"/>
        <v>0.38503134032671882</v>
      </c>
      <c r="G30" s="41">
        <f t="shared" si="11"/>
        <v>0.28597239555199561</v>
      </c>
      <c r="H30" s="41">
        <f t="shared" si="11"/>
        <v>0.28474456958970223</v>
      </c>
      <c r="I30" s="41">
        <f t="shared" si="11"/>
        <v>0.31405443024065072</v>
      </c>
      <c r="J30" s="41">
        <f t="shared" si="11"/>
        <v>0.32625142160175341</v>
      </c>
      <c r="K30" s="41">
        <f t="shared" si="11"/>
        <v>0.36245879835771722</v>
      </c>
      <c r="L30" s="41">
        <f t="shared" si="11"/>
        <v>0.25460807521007034</v>
      </c>
      <c r="M30" s="41">
        <f t="shared" si="11"/>
        <v>0.25462367875922881</v>
      </c>
    </row>
    <row r="32" spans="2:17">
      <c r="B32" s="52" t="s">
        <v>115</v>
      </c>
      <c r="C32" s="53">
        <f>C26-C29</f>
        <v>39.489999999999881</v>
      </c>
      <c r="D32" s="53">
        <f t="shared" ref="D32:M32" si="12">D26-D29</f>
        <v>94.899999999999409</v>
      </c>
      <c r="E32" s="53">
        <f t="shared" si="12"/>
        <v>288.1500000000006</v>
      </c>
      <c r="F32" s="53">
        <f t="shared" si="12"/>
        <v>378.71000000000004</v>
      </c>
      <c r="G32" s="53">
        <f t="shared" si="12"/>
        <v>383.34000000000049</v>
      </c>
      <c r="H32" s="53">
        <f t="shared" si="12"/>
        <v>711.25000000000023</v>
      </c>
      <c r="I32" s="53">
        <f t="shared" si="12"/>
        <v>561.80999999999949</v>
      </c>
      <c r="J32" s="53">
        <f t="shared" si="12"/>
        <v>408.77000000000061</v>
      </c>
      <c r="K32" s="53">
        <f t="shared" si="12"/>
        <v>551.24999999999943</v>
      </c>
      <c r="L32" s="53">
        <f t="shared" si="12"/>
        <v>664.41999999999825</v>
      </c>
      <c r="M32" s="53">
        <f t="shared" si="12"/>
        <v>701.65999999999985</v>
      </c>
    </row>
    <row r="33" spans="1:13">
      <c r="B33" s="38" t="s">
        <v>116</v>
      </c>
      <c r="C33" s="40">
        <f>C32/C5</f>
        <v>1.1506443783344323E-2</v>
      </c>
      <c r="D33" s="40">
        <f t="shared" ref="D33:M33" si="13">D32/D5</f>
        <v>2.2893231660687911E-2</v>
      </c>
      <c r="E33" s="40">
        <f t="shared" si="13"/>
        <v>5.6954069107828409E-2</v>
      </c>
      <c r="F33" s="40">
        <f t="shared" si="13"/>
        <v>6.0477290075726366E-2</v>
      </c>
      <c r="G33" s="40">
        <f t="shared" si="13"/>
        <v>6.5978323915808615E-2</v>
      </c>
      <c r="H33" s="40">
        <f t="shared" si="13"/>
        <v>0.10139826243652365</v>
      </c>
      <c r="I33" s="40">
        <f t="shared" si="13"/>
        <v>7.7143622170501053E-2</v>
      </c>
      <c r="J33" s="40">
        <f t="shared" si="13"/>
        <v>4.8497453340910698E-2</v>
      </c>
      <c r="K33" s="40">
        <f t="shared" si="13"/>
        <v>5.6229401678364703E-2</v>
      </c>
      <c r="L33" s="40">
        <f t="shared" si="13"/>
        <v>6.4860189693748682E-2</v>
      </c>
      <c r="M33" s="40">
        <f t="shared" si="13"/>
        <v>6.689777604890669E-2</v>
      </c>
    </row>
    <row r="35" spans="1:13">
      <c r="B35" s="30" t="s">
        <v>117</v>
      </c>
      <c r="C35" s="35">
        <f>IFERROR('Data Sheet'!B93,0)</f>
        <v>12.26</v>
      </c>
      <c r="D35" s="35">
        <f>IFERROR('Data Sheet'!C93,0)</f>
        <v>12.26</v>
      </c>
      <c r="E35" s="35">
        <f>IFERROR('Data Sheet'!D93,0)</f>
        <v>12.26</v>
      </c>
      <c r="F35" s="35">
        <f>IFERROR('Data Sheet'!E93,0)</f>
        <v>12.26</v>
      </c>
      <c r="G35" s="35">
        <f>IFERROR('Data Sheet'!F93,0)</f>
        <v>12.26</v>
      </c>
      <c r="H35" s="35">
        <f>IFERROR('Data Sheet'!G93,0)</f>
        <v>13.48</v>
      </c>
      <c r="I35" s="35">
        <f>IFERROR('Data Sheet'!H93,0)</f>
        <v>13.19</v>
      </c>
      <c r="J35" s="35">
        <f>IFERROR('Data Sheet'!I93,0)</f>
        <v>13.19</v>
      </c>
      <c r="K35" s="35">
        <f>IFERROR('Data Sheet'!J93,0)</f>
        <v>11.05</v>
      </c>
      <c r="L35" s="35">
        <f>IFERROR('Data Sheet'!K93,0)</f>
        <v>11.19</v>
      </c>
    </row>
    <row r="37" spans="1:13">
      <c r="B37" s="30" t="s">
        <v>57</v>
      </c>
      <c r="C37" s="35">
        <f>IFERROR(C32/C35,0)</f>
        <v>3.2210440456769889</v>
      </c>
      <c r="D37" s="35">
        <f t="shared" ref="D37:M37" si="14">IFERROR(D32/D35,0)</f>
        <v>7.7406199021206694</v>
      </c>
      <c r="E37" s="35">
        <f t="shared" si="14"/>
        <v>23.503262642740669</v>
      </c>
      <c r="F37" s="35">
        <f t="shared" si="14"/>
        <v>30.889885807504083</v>
      </c>
      <c r="G37" s="35">
        <f t="shared" si="14"/>
        <v>31.267536704730873</v>
      </c>
      <c r="H37" s="35">
        <f t="shared" si="14"/>
        <v>52.763353115727021</v>
      </c>
      <c r="I37" s="35">
        <f t="shared" si="14"/>
        <v>42.593631539044694</v>
      </c>
      <c r="J37" s="35">
        <f t="shared" si="14"/>
        <v>30.990902198635379</v>
      </c>
      <c r="K37" s="35">
        <f t="shared" si="14"/>
        <v>49.886877828054246</v>
      </c>
      <c r="L37" s="35">
        <f t="shared" si="14"/>
        <v>59.376228775692432</v>
      </c>
      <c r="M37" s="35">
        <f t="shared" si="14"/>
        <v>0</v>
      </c>
    </row>
    <row r="38" spans="1:13">
      <c r="B38" s="38" t="s">
        <v>119</v>
      </c>
      <c r="C38" s="46"/>
      <c r="D38" s="40">
        <f>D37/C37-1</f>
        <v>1.4031400354520054</v>
      </c>
      <c r="E38" s="40">
        <f t="shared" ref="E38:M38" si="15">E37/D37-1</f>
        <v>2.0363540569020273</v>
      </c>
      <c r="F38" s="40">
        <f t="shared" si="15"/>
        <v>0.31428075655040533</v>
      </c>
      <c r="G38" s="40">
        <f t="shared" si="15"/>
        <v>1.2225713606718758E-2</v>
      </c>
      <c r="H38" s="40">
        <f t="shared" si="15"/>
        <v>0.68748032868683784</v>
      </c>
      <c r="I38" s="40">
        <f t="shared" si="15"/>
        <v>-0.19274213968882636</v>
      </c>
      <c r="J38" s="40">
        <f t="shared" si="15"/>
        <v>-0.2724052615652961</v>
      </c>
      <c r="K38" s="40">
        <f t="shared" si="15"/>
        <v>0.60972654194787901</v>
      </c>
      <c r="L38" s="40">
        <f t="shared" si="15"/>
        <v>0.19021737500481106</v>
      </c>
      <c r="M38" s="40">
        <f t="shared" si="15"/>
        <v>-1</v>
      </c>
    </row>
    <row r="40" spans="1:13">
      <c r="B40" s="30" t="s">
        <v>118</v>
      </c>
      <c r="C40" s="35">
        <f>IFERROR('Data Sheet'!B31/'HISTORICAL FS'!C35,0)</f>
        <v>1.1998368678629692</v>
      </c>
      <c r="D40" s="35">
        <f>IFERROR('Data Sheet'!C31/'HISTORICAL FS'!D35,0)</f>
        <v>1.5</v>
      </c>
      <c r="E40" s="35">
        <f>IFERROR('Data Sheet'!D31/'HISTORICAL FS'!E35,0)</f>
        <v>2</v>
      </c>
      <c r="F40" s="35">
        <f>IFERROR('Data Sheet'!E31/'HISTORICAL FS'!F35,0)</f>
        <v>2.4991843393148452</v>
      </c>
      <c r="G40" s="35">
        <f>IFERROR('Data Sheet'!F31/'HISTORICAL FS'!G35,0)</f>
        <v>2.4991843393148452</v>
      </c>
      <c r="H40" s="35">
        <f>IFERROR('Data Sheet'!G31/'HISTORICAL FS'!H35,0)</f>
        <v>7.5014836795252222</v>
      </c>
      <c r="I40" s="35">
        <f>IFERROR('Data Sheet'!H31/'HISTORICAL FS'!I35,0)</f>
        <v>7.0022744503411678</v>
      </c>
      <c r="J40" s="35">
        <f>IFERROR('Data Sheet'!I31/'HISTORICAL FS'!J35,0)</f>
        <v>7.0022744503411678</v>
      </c>
      <c r="K40" s="35">
        <f>IFERROR('Data Sheet'!J31/'HISTORICAL FS'!K35,0)</f>
        <v>18</v>
      </c>
      <c r="L40" s="35">
        <f>IFERROR('Data Sheet'!K31/'HISTORICAL FS'!L35,0)</f>
        <v>27.994638069705093</v>
      </c>
      <c r="M40" s="35">
        <f>IFERROR('Data Sheet'!L31/'HISTORICAL FS'!M35,0)</f>
        <v>0</v>
      </c>
    </row>
    <row r="41" spans="1:13">
      <c r="B41" s="38" t="s">
        <v>120</v>
      </c>
      <c r="C41" s="40">
        <f>IFERROR(C40/C37,0)</f>
        <v>0.37249936692833746</v>
      </c>
      <c r="D41" s="40">
        <f t="shared" ref="D41:M41" si="16">IFERROR(D40/D37,0)</f>
        <v>0.19378292939936897</v>
      </c>
      <c r="E41" s="40">
        <f t="shared" si="16"/>
        <v>8.5094568800971535E-2</v>
      </c>
      <c r="F41" s="40">
        <f t="shared" si="16"/>
        <v>8.0906234321776557E-2</v>
      </c>
      <c r="G41" s="40">
        <f t="shared" si="16"/>
        <v>7.9929044712265779E-2</v>
      </c>
      <c r="H41" s="40">
        <f t="shared" si="16"/>
        <v>0.1421722319859402</v>
      </c>
      <c r="I41" s="40">
        <f t="shared" si="16"/>
        <v>0.16439721614068828</v>
      </c>
      <c r="J41" s="40">
        <f t="shared" si="16"/>
        <v>0.22594613107615494</v>
      </c>
      <c r="K41" s="40">
        <f t="shared" si="16"/>
        <v>0.36081632653061263</v>
      </c>
      <c r="L41" s="40">
        <f t="shared" si="16"/>
        <v>0.47147888383853703</v>
      </c>
      <c r="M41" s="40">
        <f t="shared" si="16"/>
        <v>0</v>
      </c>
    </row>
    <row r="42" spans="1:13">
      <c r="B42" s="38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>
      <c r="B43" s="45" t="s">
        <v>121</v>
      </c>
      <c r="C43" s="45">
        <f>IFERROR(1-C41,0)</f>
        <v>0.62750063307166259</v>
      </c>
      <c r="D43" s="45">
        <f t="shared" ref="D43:M43" si="17">IFERROR(1-D41,0)</f>
        <v>0.80621707060063108</v>
      </c>
      <c r="E43" s="45">
        <f t="shared" si="17"/>
        <v>0.91490543119902845</v>
      </c>
      <c r="F43" s="45">
        <f t="shared" si="17"/>
        <v>0.91909376567822343</v>
      </c>
      <c r="G43" s="45">
        <f t="shared" si="17"/>
        <v>0.92007095528773419</v>
      </c>
      <c r="H43" s="45">
        <f t="shared" si="17"/>
        <v>0.8578277680140598</v>
      </c>
      <c r="I43" s="45">
        <f t="shared" si="17"/>
        <v>0.83560278385931175</v>
      </c>
      <c r="J43" s="45">
        <f t="shared" si="17"/>
        <v>0.77405386892384509</v>
      </c>
      <c r="K43" s="45">
        <f t="shared" si="17"/>
        <v>0.63918367346938743</v>
      </c>
      <c r="L43" s="45">
        <f t="shared" si="17"/>
        <v>0.52852111616146291</v>
      </c>
      <c r="M43" s="45">
        <f t="shared" si="17"/>
        <v>1</v>
      </c>
    </row>
    <row r="45" spans="1:13">
      <c r="A45" s="25" t="s">
        <v>95</v>
      </c>
      <c r="B45" s="42" t="s">
        <v>122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3">
      <c r="B46" s="25" t="s">
        <v>123</v>
      </c>
      <c r="C46" s="47">
        <f>IFERROR('Data Sheet'!B57,0)</f>
        <v>122.58</v>
      </c>
      <c r="D46" s="47">
        <f>IFERROR('Data Sheet'!C57,0)</f>
        <v>122.58</v>
      </c>
      <c r="E46" s="47">
        <f>IFERROR('Data Sheet'!D57,0)</f>
        <v>122.58</v>
      </c>
      <c r="F46" s="47">
        <f>IFERROR('Data Sheet'!E57,0)</f>
        <v>122.58</v>
      </c>
      <c r="G46" s="47">
        <f>IFERROR('Data Sheet'!F57,0)</f>
        <v>122.58</v>
      </c>
      <c r="H46" s="47">
        <f>IFERROR('Data Sheet'!G57,0)</f>
        <v>134.83000000000001</v>
      </c>
      <c r="I46" s="47">
        <f>IFERROR('Data Sheet'!H57,0)</f>
        <v>131.94</v>
      </c>
      <c r="J46" s="47">
        <f>IFERROR('Data Sheet'!I57,0)</f>
        <v>131.94</v>
      </c>
      <c r="K46" s="47">
        <f>IFERROR('Data Sheet'!J57,0)</f>
        <v>110.5</v>
      </c>
      <c r="L46" s="47">
        <f>IFERROR('Data Sheet'!K57,0)</f>
        <v>111.88</v>
      </c>
      <c r="M46" s="47">
        <f>IFERROR('Data Sheet'!L57,0)</f>
        <v>0</v>
      </c>
    </row>
    <row r="47" spans="1:13">
      <c r="B47" s="25" t="s">
        <v>124</v>
      </c>
      <c r="C47" s="47">
        <f>IFERROR('Data Sheet'!B58,0)</f>
        <v>1343.9</v>
      </c>
      <c r="D47" s="47">
        <f>IFERROR('Data Sheet'!C58,0)</f>
        <v>1498.35</v>
      </c>
      <c r="E47" s="47">
        <f>IFERROR('Data Sheet'!D58,0)</f>
        <v>2092.56</v>
      </c>
      <c r="F47" s="47">
        <f>IFERROR('Data Sheet'!E58,0)</f>
        <v>2550.91</v>
      </c>
      <c r="G47" s="47">
        <f>IFERROR('Data Sheet'!F58,0)</f>
        <v>2994.82</v>
      </c>
      <c r="H47" s="47">
        <f>IFERROR('Data Sheet'!G58,0)</f>
        <v>4891.3</v>
      </c>
      <c r="I47" s="47">
        <f>IFERROR('Data Sheet'!H58,0)</f>
        <v>7467.96</v>
      </c>
      <c r="J47" s="47">
        <f>IFERROR('Data Sheet'!I58,0)</f>
        <v>8054.77</v>
      </c>
      <c r="K47" s="47">
        <f>IFERROR('Data Sheet'!J58,0)</f>
        <v>9278.01</v>
      </c>
      <c r="L47" s="47">
        <f>IFERROR('Data Sheet'!K58,0)</f>
        <v>10254.92</v>
      </c>
      <c r="M47" s="47">
        <f>IFERROR('Data Sheet'!L58,0)</f>
        <v>0</v>
      </c>
    </row>
    <row r="48" spans="1:13">
      <c r="B48" s="25" t="s">
        <v>125</v>
      </c>
      <c r="C48" s="47">
        <f>IFERROR('Data Sheet'!B59,0)</f>
        <v>368.12</v>
      </c>
      <c r="D48" s="47">
        <f>IFERROR('Data Sheet'!C59,0)</f>
        <v>265.43</v>
      </c>
      <c r="E48" s="47">
        <f>IFERROR('Data Sheet'!D59,0)</f>
        <v>51.09</v>
      </c>
      <c r="F48" s="47">
        <f>IFERROR('Data Sheet'!E59,0)</f>
        <v>280.95999999999998</v>
      </c>
      <c r="G48" s="47">
        <f>IFERROR('Data Sheet'!F59,0)</f>
        <v>47.67</v>
      </c>
      <c r="H48" s="47">
        <f>IFERROR('Data Sheet'!G59,0)</f>
        <v>60.61</v>
      </c>
      <c r="I48" s="47">
        <f>IFERROR('Data Sheet'!H59,0)</f>
        <v>51.95</v>
      </c>
      <c r="J48" s="47">
        <f>IFERROR('Data Sheet'!I59,0)</f>
        <v>57.3</v>
      </c>
      <c r="K48" s="47">
        <f>IFERROR('Data Sheet'!J59,0)</f>
        <v>448.46</v>
      </c>
      <c r="L48" s="47">
        <f>IFERROR('Data Sheet'!K59,0)</f>
        <v>105.18</v>
      </c>
      <c r="M48" s="47">
        <f>IFERROR('Data Sheet'!L59,0)</f>
        <v>0</v>
      </c>
    </row>
    <row r="49" spans="2:13">
      <c r="B49" s="25" t="s">
        <v>72</v>
      </c>
      <c r="C49" s="47">
        <f>IFERROR('Data Sheet'!B60,0)</f>
        <v>1133.58</v>
      </c>
      <c r="D49" s="47">
        <f>IFERROR('Data Sheet'!C60,0)</f>
        <v>1312.86</v>
      </c>
      <c r="E49" s="47">
        <f>IFERROR('Data Sheet'!D60,0)</f>
        <v>1706.3</v>
      </c>
      <c r="F49" s="47">
        <f>IFERROR('Data Sheet'!E60,0)</f>
        <v>1752.52</v>
      </c>
      <c r="G49" s="47">
        <f>IFERROR('Data Sheet'!F60,0)</f>
        <v>1848.89</v>
      </c>
      <c r="H49" s="47">
        <f>IFERROR('Data Sheet'!G60,0)</f>
        <v>1791.43</v>
      </c>
      <c r="I49" s="47">
        <f>IFERROR('Data Sheet'!H60,0)</f>
        <v>1455.89</v>
      </c>
      <c r="J49" s="47">
        <f>IFERROR('Data Sheet'!I60,0)</f>
        <v>1840.81</v>
      </c>
      <c r="K49" s="47">
        <f>IFERROR('Data Sheet'!J60,0)</f>
        <v>2563.39</v>
      </c>
      <c r="L49" s="47">
        <f>IFERROR('Data Sheet'!K60,0)</f>
        <v>2622.71</v>
      </c>
      <c r="M49" s="47">
        <f>IFERROR('Data Sheet'!L60,0)</f>
        <v>0</v>
      </c>
    </row>
    <row r="50" spans="2:13">
      <c r="B50" s="52" t="s">
        <v>126</v>
      </c>
      <c r="C50" s="53">
        <f>IFERROR('Data Sheet'!B61,0)</f>
        <v>2968.18</v>
      </c>
      <c r="D50" s="53">
        <f>IFERROR('Data Sheet'!C61,0)</f>
        <v>3199.22</v>
      </c>
      <c r="E50" s="53">
        <f>IFERROR('Data Sheet'!D61,0)</f>
        <v>3972.53</v>
      </c>
      <c r="F50" s="53">
        <f>IFERROR('Data Sheet'!E61,0)</f>
        <v>4706.97</v>
      </c>
      <c r="G50" s="53">
        <f>IFERROR('Data Sheet'!F61,0)</f>
        <v>5013.96</v>
      </c>
      <c r="H50" s="53">
        <f>IFERROR('Data Sheet'!G61,0)</f>
        <v>6878.17</v>
      </c>
      <c r="I50" s="53">
        <f>IFERROR('Data Sheet'!H61,0)</f>
        <v>9107.74</v>
      </c>
      <c r="J50" s="53">
        <f>IFERROR('Data Sheet'!I61,0)</f>
        <v>10084.82</v>
      </c>
      <c r="K50" s="53">
        <f>IFERROR('Data Sheet'!J61,0)</f>
        <v>12400.36</v>
      </c>
      <c r="L50" s="53">
        <f>IFERROR('Data Sheet'!K61,0)</f>
        <v>13094.69</v>
      </c>
      <c r="M50" s="53">
        <f>IFERROR('Data Sheet'!L61,0)</f>
        <v>0</v>
      </c>
    </row>
    <row r="51" spans="2:13">
      <c r="D51" s="48"/>
    </row>
    <row r="52" spans="2:13">
      <c r="B52" s="25" t="s">
        <v>127</v>
      </c>
      <c r="C52" s="47">
        <f>IFERROR('Data Sheet'!B62,0)</f>
        <v>1539.02</v>
      </c>
      <c r="D52" s="47">
        <f>IFERROR('Data Sheet'!C62,0)</f>
        <v>1581.14</v>
      </c>
      <c r="E52" s="47">
        <f>IFERROR('Data Sheet'!D62,0)</f>
        <v>1587.8</v>
      </c>
      <c r="F52" s="47">
        <f>IFERROR('Data Sheet'!E62,0)</f>
        <v>1647.23</v>
      </c>
      <c r="G52" s="47">
        <f>IFERROR('Data Sheet'!F62,0)</f>
        <v>1702.41</v>
      </c>
      <c r="H52" s="47">
        <f>IFERROR('Data Sheet'!G62,0)</f>
        <v>1796.23</v>
      </c>
      <c r="I52" s="47">
        <f>IFERROR('Data Sheet'!H62,0)</f>
        <v>1841.05</v>
      </c>
      <c r="J52" s="47">
        <f>IFERROR('Data Sheet'!I62,0)</f>
        <v>1891.15</v>
      </c>
      <c r="K52" s="47">
        <f>IFERROR('Data Sheet'!J62,0)</f>
        <v>2165.2800000000002</v>
      </c>
      <c r="L52" s="47">
        <f>IFERROR('Data Sheet'!K62,0)</f>
        <v>2053.1799999999998</v>
      </c>
      <c r="M52" s="47">
        <f>IFERROR('Data Sheet'!L62,0)</f>
        <v>0</v>
      </c>
    </row>
    <row r="53" spans="2:13">
      <c r="B53" s="25" t="s">
        <v>128</v>
      </c>
      <c r="C53" s="47">
        <f>IFERROR('Data Sheet'!B63,0)</f>
        <v>58.43</v>
      </c>
      <c r="D53" s="47">
        <f>IFERROR('Data Sheet'!C63,0)</f>
        <v>34.700000000000003</v>
      </c>
      <c r="E53" s="47">
        <f>IFERROR('Data Sheet'!D63,0)</f>
        <v>65.72</v>
      </c>
      <c r="F53" s="47">
        <f>IFERROR('Data Sheet'!E63,0)</f>
        <v>79.959999999999994</v>
      </c>
      <c r="G53" s="47">
        <f>IFERROR('Data Sheet'!F63,0)</f>
        <v>124.66</v>
      </c>
      <c r="H53" s="47">
        <f>IFERROR('Data Sheet'!G63,0)</f>
        <v>64.69</v>
      </c>
      <c r="I53" s="47">
        <f>IFERROR('Data Sheet'!H63,0)</f>
        <v>87.8</v>
      </c>
      <c r="J53" s="47">
        <f>IFERROR('Data Sheet'!I63,0)</f>
        <v>113.68</v>
      </c>
      <c r="K53" s="47">
        <f>IFERROR('Data Sheet'!J63,0)</f>
        <v>161.4</v>
      </c>
      <c r="L53" s="47">
        <f>IFERROR('Data Sheet'!K63,0)</f>
        <v>152.54</v>
      </c>
      <c r="M53" s="47">
        <f>IFERROR('Data Sheet'!L63,0)</f>
        <v>0</v>
      </c>
    </row>
    <row r="54" spans="2:13">
      <c r="B54" s="25" t="s">
        <v>129</v>
      </c>
      <c r="C54" s="47">
        <f>IFERROR('Data Sheet'!B64,0)</f>
        <v>63.66</v>
      </c>
      <c r="D54" s="47">
        <f>IFERROR('Data Sheet'!C64,0)</f>
        <v>212.34</v>
      </c>
      <c r="E54" s="47">
        <f>IFERROR('Data Sheet'!D64,0)</f>
        <v>549.04</v>
      </c>
      <c r="F54" s="47">
        <f>IFERROR('Data Sheet'!E64,0)</f>
        <v>490.79</v>
      </c>
      <c r="G54" s="47">
        <f>IFERROR('Data Sheet'!F64,0)</f>
        <v>797.36</v>
      </c>
      <c r="H54" s="47">
        <f>IFERROR('Data Sheet'!G64,0)</f>
        <v>1938.02</v>
      </c>
      <c r="I54" s="47">
        <f>IFERROR('Data Sheet'!H64,0)</f>
        <v>4835.84</v>
      </c>
      <c r="J54" s="47">
        <f>IFERROR('Data Sheet'!I64,0)</f>
        <v>4766.6899999999996</v>
      </c>
      <c r="K54" s="47">
        <f>IFERROR('Data Sheet'!J64,0)</f>
        <v>5019.4799999999996</v>
      </c>
      <c r="L54" s="47">
        <f>IFERROR('Data Sheet'!K64,0)</f>
        <v>5605.21</v>
      </c>
      <c r="M54" s="47">
        <f>IFERROR('Data Sheet'!L64,0)</f>
        <v>0</v>
      </c>
    </row>
    <row r="55" spans="2:13">
      <c r="B55" s="25" t="s">
        <v>130</v>
      </c>
      <c r="C55" s="47">
        <f>IFERROR('Data Sheet'!B65-SUM('Data Sheet'!B67,'Data Sheet'!B68,'Data Sheet'!B69),0)</f>
        <v>222.30999999999995</v>
      </c>
      <c r="D55" s="47">
        <f>IFERROR('Data Sheet'!C65-SUM('Data Sheet'!C67,'Data Sheet'!C68,'Data Sheet'!C69),0)</f>
        <v>220.19000000000005</v>
      </c>
      <c r="E55" s="47">
        <f>IFERROR('Data Sheet'!D65-SUM('Data Sheet'!D67,'Data Sheet'!D68,'Data Sheet'!D69),0)</f>
        <v>294.95000000000005</v>
      </c>
      <c r="F55" s="47">
        <f>IFERROR('Data Sheet'!E65-SUM('Data Sheet'!E67,'Data Sheet'!E68,'Data Sheet'!E69),0)</f>
        <v>457.22</v>
      </c>
      <c r="G55" s="47">
        <f>IFERROR('Data Sheet'!F65-SUM('Data Sheet'!F67,'Data Sheet'!F68,'Data Sheet'!F69),0)</f>
        <v>449.43000000000029</v>
      </c>
      <c r="H55" s="47">
        <f>IFERROR('Data Sheet'!G65-SUM('Data Sheet'!G67,'Data Sheet'!G68,'Data Sheet'!G69),0)</f>
        <v>381.73</v>
      </c>
      <c r="I55" s="47">
        <f>IFERROR('Data Sheet'!H65-SUM('Data Sheet'!H67,'Data Sheet'!H68,'Data Sheet'!H69),0)</f>
        <v>432.03000000000043</v>
      </c>
      <c r="J55" s="47">
        <f>IFERROR('Data Sheet'!I65-SUM('Data Sheet'!I67,'Data Sheet'!I68,'Data Sheet'!I69),0)</f>
        <v>444.07000000000016</v>
      </c>
      <c r="K55" s="47">
        <f>IFERROR('Data Sheet'!J65-SUM('Data Sheet'!J67,'Data Sheet'!J68,'Data Sheet'!J69),0)</f>
        <v>704.30999999999949</v>
      </c>
      <c r="L55" s="47">
        <f>IFERROR('Data Sheet'!K65-SUM('Data Sheet'!K67,'Data Sheet'!K68,'Data Sheet'!K69),0)</f>
        <v>1428.8000000000002</v>
      </c>
      <c r="M55" s="47">
        <f>IFERROR('Data Sheet'!L65-SUM('Data Sheet'!L67,'Data Sheet'!L68,'Data Sheet'!L69),0)</f>
        <v>0</v>
      </c>
    </row>
    <row r="56" spans="2:13">
      <c r="B56" s="52" t="s">
        <v>131</v>
      </c>
      <c r="C56" s="53">
        <f>IFERROR(SUM(C52,C53,C54,C55),0)</f>
        <v>1883.42</v>
      </c>
      <c r="D56" s="53">
        <f t="shared" ref="D56:M56" si="18">IFERROR(SUM(D52,D53,D54,D55),0)</f>
        <v>2048.37</v>
      </c>
      <c r="E56" s="53">
        <f t="shared" si="18"/>
        <v>2497.5100000000002</v>
      </c>
      <c r="F56" s="53">
        <f t="shared" si="18"/>
        <v>2675.2</v>
      </c>
      <c r="G56" s="53">
        <f t="shared" si="18"/>
        <v>3073.8600000000006</v>
      </c>
      <c r="H56" s="53">
        <f t="shared" si="18"/>
        <v>4180.67</v>
      </c>
      <c r="I56" s="53">
        <f t="shared" si="18"/>
        <v>7196.7200000000012</v>
      </c>
      <c r="J56" s="53">
        <f t="shared" si="18"/>
        <v>7215.59</v>
      </c>
      <c r="K56" s="53">
        <f t="shared" si="18"/>
        <v>8050.4699999999993</v>
      </c>
      <c r="L56" s="53">
        <f t="shared" si="18"/>
        <v>9239.73</v>
      </c>
      <c r="M56" s="53">
        <f t="shared" si="18"/>
        <v>0</v>
      </c>
    </row>
    <row r="58" spans="2:13">
      <c r="B58" s="25" t="s">
        <v>78</v>
      </c>
      <c r="C58" s="47">
        <f>IFERROR('Data Sheet'!B67,0)</f>
        <v>374.97</v>
      </c>
      <c r="D58" s="47">
        <f>IFERROR('Data Sheet'!C67,0)</f>
        <v>456.45</v>
      </c>
      <c r="E58" s="47">
        <f>IFERROR('Data Sheet'!D67,0)</f>
        <v>592</v>
      </c>
      <c r="F58" s="47">
        <f>IFERROR('Data Sheet'!E67,0)</f>
        <v>931.05</v>
      </c>
      <c r="G58" s="47">
        <f>IFERROR('Data Sheet'!F67,0)</f>
        <v>731.86</v>
      </c>
      <c r="H58" s="47">
        <f>IFERROR('Data Sheet'!G67,0)</f>
        <v>657.58</v>
      </c>
      <c r="I58" s="47">
        <f>IFERROR('Data Sheet'!H67,0)</f>
        <v>792.62</v>
      </c>
      <c r="J58" s="47">
        <f>IFERROR('Data Sheet'!I67,0)</f>
        <v>1179.6500000000001</v>
      </c>
      <c r="K58" s="47">
        <f>IFERROR('Data Sheet'!J67,0)</f>
        <v>1427.91</v>
      </c>
      <c r="L58" s="47">
        <f>IFERROR('Data Sheet'!K67,0)</f>
        <v>1331.84</v>
      </c>
      <c r="M58" s="47">
        <f>IFERROR('Data Sheet'!L67,0)</f>
        <v>0</v>
      </c>
    </row>
    <row r="59" spans="2:13">
      <c r="B59" s="25" t="s">
        <v>132</v>
      </c>
      <c r="C59" s="47">
        <f>IFERROR('Data Sheet'!B68,0)</f>
        <v>456.76</v>
      </c>
      <c r="D59" s="47">
        <f>IFERROR('Data Sheet'!C68,0)</f>
        <v>450.3</v>
      </c>
      <c r="E59" s="47">
        <f>IFERROR('Data Sheet'!D68,0)</f>
        <v>565.73</v>
      </c>
      <c r="F59" s="47">
        <f>IFERROR('Data Sheet'!E68,0)</f>
        <v>857.42</v>
      </c>
      <c r="G59" s="47">
        <f>IFERROR('Data Sheet'!F68,0)</f>
        <v>883.36</v>
      </c>
      <c r="H59" s="47">
        <f>IFERROR('Data Sheet'!G68,0)</f>
        <v>718.16</v>
      </c>
      <c r="I59" s="47">
        <f>IFERROR('Data Sheet'!H68,0)</f>
        <v>846.56</v>
      </c>
      <c r="J59" s="47">
        <f>IFERROR('Data Sheet'!I68,0)</f>
        <v>1217.68</v>
      </c>
      <c r="K59" s="47">
        <f>IFERROR('Data Sheet'!J68,0)</f>
        <v>1716.16</v>
      </c>
      <c r="L59" s="47">
        <f>IFERROR('Data Sheet'!K68,0)</f>
        <v>1398.99</v>
      </c>
      <c r="M59" s="47">
        <f>IFERROR('Data Sheet'!L68,0)</f>
        <v>0</v>
      </c>
    </row>
    <row r="60" spans="2:13">
      <c r="B60" s="25" t="s">
        <v>134</v>
      </c>
      <c r="C60" s="47">
        <f>IFERROR('Data Sheet'!B69,0)</f>
        <v>253.03</v>
      </c>
      <c r="D60" s="47">
        <f>IFERROR('Data Sheet'!C69,0)</f>
        <v>244.1</v>
      </c>
      <c r="E60" s="47">
        <f>IFERROR('Data Sheet'!D69,0)</f>
        <v>317.29000000000002</v>
      </c>
      <c r="F60" s="47">
        <f>IFERROR('Data Sheet'!E69,0)</f>
        <v>243.3</v>
      </c>
      <c r="G60" s="47">
        <f>IFERROR('Data Sheet'!F69,0)</f>
        <v>324.88</v>
      </c>
      <c r="H60" s="47">
        <f>IFERROR('Data Sheet'!G69,0)</f>
        <v>1321.76</v>
      </c>
      <c r="I60" s="47">
        <f>IFERROR('Data Sheet'!H69,0)</f>
        <v>271.83999999999997</v>
      </c>
      <c r="J60" s="47">
        <f>IFERROR('Data Sheet'!I69,0)</f>
        <v>471.9</v>
      </c>
      <c r="K60" s="47">
        <f>IFERROR('Data Sheet'!J69,0)</f>
        <v>1205.82</v>
      </c>
      <c r="L60" s="47">
        <f>IFERROR('Data Sheet'!K69,0)</f>
        <v>1124.1300000000001</v>
      </c>
      <c r="M60" s="47">
        <f>IFERROR('Data Sheet'!L69,0)</f>
        <v>0</v>
      </c>
    </row>
    <row r="61" spans="2:13">
      <c r="B61" s="52" t="s">
        <v>135</v>
      </c>
      <c r="C61" s="53">
        <f>IFERROR(SUM('Data Sheet'!B67,'Data Sheet'!B68,'Data Sheet'!B69),0)</f>
        <v>1084.76</v>
      </c>
      <c r="D61" s="53">
        <f>IFERROR(SUM('Data Sheet'!C67,'Data Sheet'!C68,'Data Sheet'!C69),0)</f>
        <v>1150.8499999999999</v>
      </c>
      <c r="E61" s="53">
        <f>IFERROR(SUM('Data Sheet'!D67,'Data Sheet'!D68,'Data Sheet'!D69),0)</f>
        <v>1475.02</v>
      </c>
      <c r="F61" s="53">
        <f>IFERROR(SUM('Data Sheet'!E67,'Data Sheet'!E68,'Data Sheet'!E69),0)</f>
        <v>2031.7699999999998</v>
      </c>
      <c r="G61" s="53">
        <f>IFERROR(SUM('Data Sheet'!F67,'Data Sheet'!F68,'Data Sheet'!F69),0)</f>
        <v>1940.1</v>
      </c>
      <c r="H61" s="53">
        <f>IFERROR(SUM('Data Sheet'!G67,'Data Sheet'!G68,'Data Sheet'!G69),0)</f>
        <v>2697.5</v>
      </c>
      <c r="I61" s="53">
        <f>IFERROR(SUM('Data Sheet'!H67,'Data Sheet'!H68,'Data Sheet'!H69),0)</f>
        <v>1911.0199999999998</v>
      </c>
      <c r="J61" s="53">
        <f>IFERROR(SUM('Data Sheet'!I67,'Data Sheet'!I68,'Data Sheet'!I69),0)</f>
        <v>2869.23</v>
      </c>
      <c r="K61" s="53">
        <f>IFERROR(SUM('Data Sheet'!J67,'Data Sheet'!J68,'Data Sheet'!J69),0)</f>
        <v>4349.8900000000003</v>
      </c>
      <c r="L61" s="53">
        <f>IFERROR(SUM('Data Sheet'!K67,'Data Sheet'!K68,'Data Sheet'!K69),0)</f>
        <v>3854.96</v>
      </c>
      <c r="M61" s="53">
        <f>IFERROR(SUM('Data Sheet'!L67,'Data Sheet'!L68,'Data Sheet'!L69),0)</f>
        <v>0</v>
      </c>
    </row>
    <row r="62" spans="2:13">
      <c r="C62" s="47"/>
    </row>
    <row r="63" spans="2:13">
      <c r="B63" s="52" t="s">
        <v>133</v>
      </c>
      <c r="C63" s="53">
        <f>IFERROR(SUM(C56,C61),0)</f>
        <v>2968.1800000000003</v>
      </c>
      <c r="D63" s="53">
        <f t="shared" ref="D63:M63" si="19">IFERROR(SUM(D56,D61),0)</f>
        <v>3199.22</v>
      </c>
      <c r="E63" s="53">
        <f t="shared" si="19"/>
        <v>3972.53</v>
      </c>
      <c r="F63" s="53">
        <f t="shared" si="19"/>
        <v>4706.9699999999993</v>
      </c>
      <c r="G63" s="53">
        <f t="shared" si="19"/>
        <v>5013.9600000000009</v>
      </c>
      <c r="H63" s="53">
        <f t="shared" si="19"/>
        <v>6878.17</v>
      </c>
      <c r="I63" s="53">
        <f t="shared" si="19"/>
        <v>9107.7400000000016</v>
      </c>
      <c r="J63" s="53">
        <f t="shared" si="19"/>
        <v>10084.82</v>
      </c>
      <c r="K63" s="53">
        <f t="shared" si="19"/>
        <v>12400.36</v>
      </c>
      <c r="L63" s="53">
        <f t="shared" si="19"/>
        <v>13094.689999999999</v>
      </c>
      <c r="M63" s="53">
        <f t="shared" si="19"/>
        <v>0</v>
      </c>
    </row>
    <row r="65" spans="1:13">
      <c r="B65" s="30" t="s">
        <v>136</v>
      </c>
      <c r="C65" s="30" t="b">
        <f>C63=C50</f>
        <v>1</v>
      </c>
      <c r="D65" s="30" t="b">
        <f t="shared" ref="D65:M65" si="20">D63=D50</f>
        <v>1</v>
      </c>
      <c r="E65" s="30" t="b">
        <f t="shared" si="20"/>
        <v>1</v>
      </c>
      <c r="F65" s="30" t="b">
        <f t="shared" si="20"/>
        <v>1</v>
      </c>
      <c r="G65" s="30" t="b">
        <f t="shared" si="20"/>
        <v>1</v>
      </c>
      <c r="H65" s="30" t="b">
        <f t="shared" si="20"/>
        <v>1</v>
      </c>
      <c r="I65" s="30" t="b">
        <f t="shared" si="20"/>
        <v>1</v>
      </c>
      <c r="J65" s="30" t="b">
        <f t="shared" si="20"/>
        <v>1</v>
      </c>
      <c r="K65" s="30" t="b">
        <f t="shared" si="20"/>
        <v>1</v>
      </c>
      <c r="L65" s="30" t="b">
        <f t="shared" si="20"/>
        <v>1</v>
      </c>
      <c r="M65" s="30" t="b">
        <f t="shared" si="20"/>
        <v>1</v>
      </c>
    </row>
    <row r="67" spans="1:13">
      <c r="A67" s="25" t="s">
        <v>137</v>
      </c>
      <c r="B67" s="42" t="s">
        <v>138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1:13">
      <c r="B68" s="30" t="s">
        <v>164</v>
      </c>
    </row>
    <row r="69" spans="1:13">
      <c r="B69" s="25" t="s">
        <v>140</v>
      </c>
      <c r="C69" s="47">
        <f>IFERROR(CFS!D3,0)</f>
        <v>178</v>
      </c>
      <c r="D69" s="47">
        <f>IFERROR(CFS!E3,0)</f>
        <v>305</v>
      </c>
      <c r="E69" s="47">
        <f>IFERROR(CFS!F3,0)</f>
        <v>578</v>
      </c>
      <c r="F69" s="47">
        <f>IFERROR(CFS!G3,0)</f>
        <v>727</v>
      </c>
      <c r="G69" s="47">
        <f>IFERROR(CFS!H3,0)</f>
        <v>647</v>
      </c>
      <c r="H69" s="47">
        <f>IFERROR(CFS!I3,0)</f>
        <v>1111</v>
      </c>
      <c r="I69" s="47">
        <f>IFERROR(CFS!J3,0)</f>
        <v>936</v>
      </c>
      <c r="J69" s="47">
        <f>IFERROR(CFS!K3,0)</f>
        <v>815</v>
      </c>
      <c r="K69" s="47">
        <f>IFERROR(CFS!L3,0)</f>
        <v>1375</v>
      </c>
      <c r="L69" s="47">
        <f>IFERROR(CFS!M3,0)</f>
        <v>1416</v>
      </c>
      <c r="M69" s="47">
        <f>IFERROR(CFS!N3,0)</f>
        <v>0</v>
      </c>
    </row>
    <row r="70" spans="1:13">
      <c r="B70" s="25" t="s">
        <v>78</v>
      </c>
      <c r="C70" s="47">
        <f>IFERROR(CFS!D4,0)</f>
        <v>-15</v>
      </c>
      <c r="D70" s="47">
        <f>IFERROR(CFS!E4,0)</f>
        <v>-79</v>
      </c>
      <c r="E70" s="47">
        <f>IFERROR(CFS!F4,0)</f>
        <v>-143</v>
      </c>
      <c r="F70" s="47">
        <f>IFERROR(CFS!G4,0)</f>
        <v>-324</v>
      </c>
      <c r="G70" s="47">
        <f>IFERROR(CFS!H4,0)</f>
        <v>170</v>
      </c>
      <c r="H70" s="47">
        <f>IFERROR(CFS!I4,0)</f>
        <v>47</v>
      </c>
      <c r="I70" s="47">
        <f>IFERROR(CFS!J4,0)</f>
        <v>-142</v>
      </c>
      <c r="J70" s="47">
        <f>IFERROR(CFS!K4,0)</f>
        <v>-384</v>
      </c>
      <c r="K70" s="47">
        <f>IFERROR(CFS!L4,0)</f>
        <v>-51</v>
      </c>
      <c r="L70" s="47">
        <f>IFERROR(CFS!M4,0)</f>
        <v>-179</v>
      </c>
      <c r="M70" s="47">
        <f>IFERROR(CFS!N4,0)</f>
        <v>0</v>
      </c>
    </row>
    <row r="71" spans="1:13">
      <c r="B71" s="25" t="s">
        <v>45</v>
      </c>
      <c r="C71" s="47">
        <f>IFERROR(CFS!D5,0)</f>
        <v>22</v>
      </c>
      <c r="D71" s="47">
        <f>IFERROR(CFS!E5,0)</f>
        <v>-57</v>
      </c>
      <c r="E71" s="47">
        <f>IFERROR(CFS!F5,0)</f>
        <v>-123</v>
      </c>
      <c r="F71" s="47">
        <f>IFERROR(CFS!G5,0)</f>
        <v>-275</v>
      </c>
      <c r="G71" s="47">
        <f>IFERROR(CFS!H5,0)</f>
        <v>0</v>
      </c>
      <c r="H71" s="47">
        <f>IFERROR(CFS!I5,0)</f>
        <v>148</v>
      </c>
      <c r="I71" s="47">
        <f>IFERROR(CFS!J5,0)</f>
        <v>-129</v>
      </c>
      <c r="J71" s="47">
        <f>IFERROR(CFS!K5,0)</f>
        <v>-355</v>
      </c>
      <c r="K71" s="47">
        <f>IFERROR(CFS!L5,0)</f>
        <v>-123</v>
      </c>
      <c r="L71" s="47">
        <f>IFERROR(CFS!M5,0)</f>
        <v>163</v>
      </c>
      <c r="M71" s="47">
        <f>IFERROR(CFS!N5,0)</f>
        <v>0</v>
      </c>
    </row>
    <row r="72" spans="1:13">
      <c r="B72" s="25" t="s">
        <v>141</v>
      </c>
      <c r="C72" s="47">
        <f>IFERROR(CFS!D6,0)</f>
        <v>42</v>
      </c>
      <c r="D72" s="47">
        <f>IFERROR(CFS!E6,0)</f>
        <v>155</v>
      </c>
      <c r="E72" s="47">
        <f>IFERROR(CFS!F6,0)</f>
        <v>347</v>
      </c>
      <c r="F72" s="47">
        <f>IFERROR(CFS!G6,0)</f>
        <v>-1</v>
      </c>
      <c r="G72" s="47">
        <f>IFERROR(CFS!H6,0)</f>
        <v>87</v>
      </c>
      <c r="H72" s="47">
        <f>IFERROR(CFS!I6,0)</f>
        <v>-20</v>
      </c>
      <c r="I72" s="47">
        <f>IFERROR(CFS!J6,0)</f>
        <v>-255</v>
      </c>
      <c r="J72" s="47">
        <f>IFERROR(CFS!K6,0)</f>
        <v>357</v>
      </c>
      <c r="K72" s="47">
        <f>IFERROR(CFS!L6,0)</f>
        <v>-98</v>
      </c>
      <c r="L72" s="47">
        <f>IFERROR(CFS!M6,0)</f>
        <v>81</v>
      </c>
      <c r="M72" s="47">
        <f>IFERROR(CFS!N6,0)</f>
        <v>0</v>
      </c>
    </row>
    <row r="73" spans="1:13">
      <c r="B73" s="25" t="s">
        <v>143</v>
      </c>
      <c r="C73" s="47">
        <f>IFERROR(CFS!D7,0)</f>
        <v>-13</v>
      </c>
      <c r="D73" s="47">
        <f>IFERROR(CFS!E7,0)</f>
        <v>21</v>
      </c>
      <c r="E73" s="47">
        <f>IFERROR(CFS!F7,0)</f>
        <v>-85</v>
      </c>
      <c r="F73" s="47">
        <f>IFERROR(CFS!G7,0)</f>
        <v>-152</v>
      </c>
      <c r="G73" s="47">
        <f>IFERROR(CFS!H7,0)</f>
        <v>86</v>
      </c>
      <c r="H73" s="47">
        <f>IFERROR(CFS!I7,0)</f>
        <v>86</v>
      </c>
      <c r="I73" s="47">
        <f>IFERROR(CFS!J7,0)</f>
        <v>-116</v>
      </c>
      <c r="J73" s="47">
        <f>IFERROR(CFS!K7,0)</f>
        <v>-10</v>
      </c>
      <c r="K73" s="47">
        <f>IFERROR(CFS!L7,0)</f>
        <v>-65</v>
      </c>
      <c r="L73" s="47">
        <f>IFERROR(CFS!M7,0)</f>
        <v>85</v>
      </c>
      <c r="M73" s="47">
        <f>IFERROR(CFS!N7,0)</f>
        <v>0</v>
      </c>
    </row>
    <row r="74" spans="1:13">
      <c r="B74" s="25" t="s">
        <v>144</v>
      </c>
      <c r="C74" s="47">
        <f>IFERROR(CFS!D8,0)</f>
        <v>36</v>
      </c>
      <c r="D74" s="47">
        <f>IFERROR(CFS!E8,0)</f>
        <v>40</v>
      </c>
      <c r="E74" s="47">
        <f>IFERROR(CFS!F8,0)</f>
        <v>-4</v>
      </c>
      <c r="F74" s="47">
        <f>IFERROR(CFS!G8,0)</f>
        <v>-751</v>
      </c>
      <c r="G74" s="47">
        <f>IFERROR(CFS!H8,0)</f>
        <v>344</v>
      </c>
      <c r="H74" s="47">
        <f>IFERROR(CFS!I8,0)</f>
        <v>261</v>
      </c>
      <c r="I74" s="47">
        <f>IFERROR(CFS!J8,0)</f>
        <v>-641</v>
      </c>
      <c r="J74" s="47">
        <f>IFERROR(CFS!K8,0)</f>
        <v>-392</v>
      </c>
      <c r="K74" s="47">
        <f>IFERROR(CFS!L8,0)</f>
        <v>-338</v>
      </c>
      <c r="L74" s="47">
        <f>IFERROR(CFS!M8,0)</f>
        <v>150</v>
      </c>
      <c r="M74" s="47">
        <f>IFERROR(CFS!N8,0)</f>
        <v>0</v>
      </c>
    </row>
    <row r="75" spans="1:13">
      <c r="B75" s="25" t="s">
        <v>163</v>
      </c>
      <c r="C75" s="84" t="s">
        <v>97</v>
      </c>
      <c r="D75" s="84" t="s">
        <v>97</v>
      </c>
      <c r="E75" s="84" t="s">
        <v>97</v>
      </c>
      <c r="F75" s="84" t="s">
        <v>97</v>
      </c>
      <c r="G75" s="84" t="s">
        <v>97</v>
      </c>
      <c r="H75" s="84" t="s">
        <v>97</v>
      </c>
      <c r="I75" s="84" t="s">
        <v>97</v>
      </c>
      <c r="J75" s="84" t="s">
        <v>97</v>
      </c>
      <c r="K75" s="84" t="s">
        <v>97</v>
      </c>
      <c r="L75" s="84" t="s">
        <v>97</v>
      </c>
      <c r="M75" s="84" t="s">
        <v>97</v>
      </c>
    </row>
    <row r="76" spans="1:13">
      <c r="B76" s="52" t="s">
        <v>165</v>
      </c>
      <c r="C76" s="53">
        <f>SUM(C69:C74)</f>
        <v>250</v>
      </c>
      <c r="D76" s="53">
        <f t="shared" ref="D76:M76" si="21">SUM(D69:D74)</f>
        <v>385</v>
      </c>
      <c r="E76" s="53">
        <f t="shared" si="21"/>
        <v>570</v>
      </c>
      <c r="F76" s="53">
        <f t="shared" si="21"/>
        <v>-776</v>
      </c>
      <c r="G76" s="53">
        <f t="shared" si="21"/>
        <v>1334</v>
      </c>
      <c r="H76" s="53">
        <f t="shared" si="21"/>
        <v>1633</v>
      </c>
      <c r="I76" s="53">
        <f t="shared" si="21"/>
        <v>-347</v>
      </c>
      <c r="J76" s="53">
        <f t="shared" si="21"/>
        <v>31</v>
      </c>
      <c r="K76" s="53">
        <f t="shared" si="21"/>
        <v>700</v>
      </c>
      <c r="L76" s="53">
        <f t="shared" si="21"/>
        <v>1716</v>
      </c>
      <c r="M76" s="53">
        <f t="shared" si="21"/>
        <v>0</v>
      </c>
    </row>
    <row r="77" spans="1:13">
      <c r="C77" s="47"/>
    </row>
    <row r="78" spans="1:13">
      <c r="B78" s="30" t="s">
        <v>166</v>
      </c>
    </row>
    <row r="79" spans="1:13">
      <c r="B79" s="25" t="s">
        <v>167</v>
      </c>
      <c r="C79" s="47">
        <f>IFERROR(CFS!D11,0)</f>
        <v>-54</v>
      </c>
      <c r="D79" s="47">
        <f>IFERROR(CFS!E11,0)</f>
        <v>-78</v>
      </c>
      <c r="E79" s="47">
        <f>IFERROR(CFS!F11,0)</f>
        <v>-115</v>
      </c>
      <c r="F79" s="47">
        <f>IFERROR(CFS!G11,0)</f>
        <v>-150</v>
      </c>
      <c r="G79" s="47">
        <f>IFERROR(CFS!H11,0)</f>
        <v>-195</v>
      </c>
      <c r="H79" s="47">
        <f>IFERROR(CFS!I11,0)</f>
        <v>-123</v>
      </c>
      <c r="I79" s="47">
        <f>IFERROR(CFS!J11,0)</f>
        <v>-186</v>
      </c>
      <c r="J79" s="47">
        <f>IFERROR(CFS!K11,0)</f>
        <v>-219</v>
      </c>
      <c r="K79" s="47">
        <f>IFERROR(CFS!L11,0)</f>
        <v>-283</v>
      </c>
      <c r="L79" s="47">
        <f>IFERROR(CFS!M11,0)</f>
        <v>-247</v>
      </c>
      <c r="M79" s="47">
        <f>IFERROR(CFS!N11,0)</f>
        <v>0</v>
      </c>
    </row>
    <row r="80" spans="1:13">
      <c r="B80" s="25" t="s">
        <v>168</v>
      </c>
      <c r="C80" s="47">
        <f>IFERROR(CFS!D12,0)</f>
        <v>2</v>
      </c>
      <c r="D80" s="47">
        <f>IFERROR(CFS!E12,0)</f>
        <v>13</v>
      </c>
      <c r="E80" s="47">
        <f>IFERROR(CFS!F12,0)</f>
        <v>14</v>
      </c>
      <c r="F80" s="47">
        <f>IFERROR(CFS!G12,0)</f>
        <v>11</v>
      </c>
      <c r="G80" s="47">
        <f>IFERROR(CFS!H12,0)</f>
        <v>5</v>
      </c>
      <c r="H80" s="47">
        <f>IFERROR(CFS!I12,0)</f>
        <v>9</v>
      </c>
      <c r="I80" s="47">
        <f>IFERROR(CFS!J12,0)</f>
        <v>32</v>
      </c>
      <c r="J80" s="47">
        <f>IFERROR(CFS!K12,0)</f>
        <v>5</v>
      </c>
      <c r="K80" s="47">
        <f>IFERROR(CFS!L12,0)</f>
        <v>15</v>
      </c>
      <c r="L80" s="47">
        <f>IFERROR(CFS!M12,0)</f>
        <v>9</v>
      </c>
      <c r="M80" s="47">
        <f>IFERROR(CFS!N12,0)</f>
        <v>0</v>
      </c>
    </row>
    <row r="81" spans="2:13">
      <c r="B81" s="25" t="s">
        <v>169</v>
      </c>
      <c r="C81" s="47">
        <f>IFERROR(CFS!D13,0)</f>
        <v>0</v>
      </c>
      <c r="D81" s="47">
        <f>IFERROR(CFS!E13,0)</f>
        <v>-160</v>
      </c>
      <c r="E81" s="47">
        <f>IFERROR(CFS!F13,0)</f>
        <v>-298</v>
      </c>
      <c r="F81" s="47">
        <f>IFERROR(CFS!G13,0)</f>
        <v>0</v>
      </c>
      <c r="G81" s="47">
        <f>IFERROR(CFS!H13,0)</f>
        <v>-211</v>
      </c>
      <c r="H81" s="47">
        <f>IFERROR(CFS!I13,0)</f>
        <v>-978</v>
      </c>
      <c r="I81" s="47">
        <f>IFERROR(CFS!J13,0)</f>
        <v>-2851</v>
      </c>
      <c r="J81" s="47">
        <f>IFERROR(CFS!K13,0)</f>
        <v>-423</v>
      </c>
      <c r="K81" s="47">
        <f>IFERROR(CFS!L13,0)</f>
        <v>-130</v>
      </c>
      <c r="L81" s="47">
        <f>IFERROR(CFS!M13,0)</f>
        <v>-227</v>
      </c>
      <c r="M81" s="47">
        <f>IFERROR(CFS!N13,0)</f>
        <v>0</v>
      </c>
    </row>
    <row r="82" spans="2:13">
      <c r="B82" s="25" t="s">
        <v>170</v>
      </c>
      <c r="C82" s="47">
        <f>IFERROR(CFS!D14,0)</f>
        <v>0</v>
      </c>
      <c r="D82" s="47">
        <f>IFERROR(CFS!E14,0)</f>
        <v>0</v>
      </c>
      <c r="E82" s="47">
        <f>IFERROR(CFS!F14,0)</f>
        <v>3</v>
      </c>
      <c r="F82" s="47">
        <f>IFERROR(CFS!G14,0)</f>
        <v>178</v>
      </c>
      <c r="G82" s="47">
        <f>IFERROR(CFS!H14,0)</f>
        <v>0</v>
      </c>
      <c r="H82" s="47">
        <f>IFERROR(CFS!I14,0)</f>
        <v>0</v>
      </c>
      <c r="I82" s="47">
        <f>IFERROR(CFS!J14,0)</f>
        <v>31</v>
      </c>
      <c r="J82" s="47">
        <f>IFERROR(CFS!K14,0)</f>
        <v>667</v>
      </c>
      <c r="K82" s="47">
        <f>IFERROR(CFS!L14,0)</f>
        <v>21</v>
      </c>
      <c r="L82" s="47">
        <f>IFERROR(CFS!M14,0)</f>
        <v>25</v>
      </c>
      <c r="M82" s="47">
        <f>IFERROR(CFS!N14,0)</f>
        <v>0</v>
      </c>
    </row>
    <row r="83" spans="2:13">
      <c r="B83" s="25" t="s">
        <v>150</v>
      </c>
      <c r="C83" s="47">
        <f>IFERROR(CFS!D15,0)</f>
        <v>30</v>
      </c>
      <c r="D83" s="47">
        <f>IFERROR(CFS!E15,0)</f>
        <v>29</v>
      </c>
      <c r="E83" s="47">
        <f>IFERROR(CFS!F15,0)</f>
        <v>25</v>
      </c>
      <c r="F83" s="47">
        <f>IFERROR(CFS!G15,0)</f>
        <v>35</v>
      </c>
      <c r="G83" s="47">
        <f>IFERROR(CFS!H15,0)</f>
        <v>43</v>
      </c>
      <c r="H83" s="47">
        <f>IFERROR(CFS!I15,0)</f>
        <v>45</v>
      </c>
      <c r="I83" s="47">
        <f>IFERROR(CFS!J15,0)</f>
        <v>105</v>
      </c>
      <c r="J83" s="47">
        <f>IFERROR(CFS!K15,0)</f>
        <v>11</v>
      </c>
      <c r="K83" s="47">
        <f>IFERROR(CFS!L15,0)</f>
        <v>21</v>
      </c>
      <c r="L83" s="47">
        <f>IFERROR(CFS!M15,0)</f>
        <v>112</v>
      </c>
      <c r="M83" s="47">
        <f>IFERROR(CFS!N15,0)</f>
        <v>0</v>
      </c>
    </row>
    <row r="84" spans="2:13">
      <c r="B84" s="25" t="s">
        <v>151</v>
      </c>
      <c r="C84" s="47">
        <f>IFERROR(CFS!D16,0)</f>
        <v>0</v>
      </c>
      <c r="D84" s="47">
        <f>IFERROR(CFS!E16,0)</f>
        <v>0</v>
      </c>
      <c r="E84" s="47">
        <f>IFERROR(CFS!F16,0)</f>
        <v>0</v>
      </c>
      <c r="F84" s="47">
        <f>IFERROR(CFS!G16,0)</f>
        <v>0</v>
      </c>
      <c r="G84" s="47">
        <f>IFERROR(CFS!H16,0)</f>
        <v>0</v>
      </c>
      <c r="H84" s="47">
        <f>IFERROR(CFS!I16,0)</f>
        <v>0</v>
      </c>
      <c r="I84" s="47">
        <f>IFERROR(CFS!J16,0)</f>
        <v>0</v>
      </c>
      <c r="J84" s="47">
        <f>IFERROR(CFS!K16,0)</f>
        <v>0</v>
      </c>
      <c r="K84" s="47">
        <f>IFERROR(CFS!L16,0)</f>
        <v>0</v>
      </c>
      <c r="L84" s="47">
        <f>IFERROR(CFS!M16,0)</f>
        <v>0</v>
      </c>
      <c r="M84" s="47">
        <f>IFERROR(CFS!N16,0)</f>
        <v>0</v>
      </c>
    </row>
    <row r="85" spans="2:13">
      <c r="B85" s="25" t="s">
        <v>154</v>
      </c>
      <c r="C85" s="47">
        <f>IFERROR(CFS!D19,0)</f>
        <v>-4</v>
      </c>
      <c r="D85" s="47">
        <f>IFERROR(CFS!E19,0)</f>
        <v>56</v>
      </c>
      <c r="E85" s="47">
        <f>IFERROR(CFS!F19,0)</f>
        <v>10</v>
      </c>
      <c r="F85" s="47">
        <f>IFERROR(CFS!G19,0)</f>
        <v>17</v>
      </c>
      <c r="G85" s="47">
        <f>IFERROR(CFS!H19,0)</f>
        <v>-9</v>
      </c>
      <c r="H85" s="47">
        <f>IFERROR(CFS!I19,0)</f>
        <v>-1031</v>
      </c>
      <c r="I85" s="47">
        <f>IFERROR(CFS!J19,0)</f>
        <v>1017</v>
      </c>
      <c r="J85" s="47">
        <f>IFERROR(CFS!K19,0)</f>
        <v>-110</v>
      </c>
      <c r="K85" s="47">
        <f>IFERROR(CFS!L19,0)</f>
        <v>-390</v>
      </c>
      <c r="L85" s="47">
        <f>IFERROR(CFS!M19,0)</f>
        <v>-36</v>
      </c>
      <c r="M85" s="47">
        <f>IFERROR(CFS!N19,0)</f>
        <v>0</v>
      </c>
    </row>
    <row r="86" spans="2:13">
      <c r="B86" s="81" t="s">
        <v>171</v>
      </c>
      <c r="C86" s="53">
        <f>IFERROR(SUM(C79:C85),0)</f>
        <v>-26</v>
      </c>
      <c r="D86" s="53">
        <f t="shared" ref="D86:M86" si="22">IFERROR(SUM(D79:D85),0)</f>
        <v>-140</v>
      </c>
      <c r="E86" s="53">
        <f t="shared" si="22"/>
        <v>-361</v>
      </c>
      <c r="F86" s="53">
        <f t="shared" si="22"/>
        <v>91</v>
      </c>
      <c r="G86" s="53">
        <f t="shared" si="22"/>
        <v>-367</v>
      </c>
      <c r="H86" s="53">
        <f t="shared" si="22"/>
        <v>-2078</v>
      </c>
      <c r="I86" s="53">
        <f t="shared" si="22"/>
        <v>-1852</v>
      </c>
      <c r="J86" s="53">
        <f t="shared" si="22"/>
        <v>-69</v>
      </c>
      <c r="K86" s="53">
        <f t="shared" si="22"/>
        <v>-746</v>
      </c>
      <c r="L86" s="53">
        <f t="shared" si="22"/>
        <v>-364</v>
      </c>
      <c r="M86" s="53">
        <f t="shared" si="22"/>
        <v>0</v>
      </c>
    </row>
    <row r="88" spans="2:13">
      <c r="B88" s="51" t="s">
        <v>172</v>
      </c>
    </row>
    <row r="89" spans="2:13">
      <c r="B89" s="25" t="s">
        <v>156</v>
      </c>
      <c r="C89" s="47">
        <f>IFERROR(CFS!D21,0)</f>
        <v>1</v>
      </c>
      <c r="D89" s="47">
        <f>IFERROR(CFS!E21,0)</f>
        <v>1</v>
      </c>
      <c r="E89" s="47">
        <f>IFERROR(CFS!F21,0)</f>
        <v>0</v>
      </c>
      <c r="F89" s="47">
        <f>IFERROR(CFS!G21,0)</f>
        <v>0</v>
      </c>
      <c r="G89" s="47">
        <f>IFERROR(CFS!H21,0)</f>
        <v>0</v>
      </c>
      <c r="H89" s="47">
        <f>IFERROR(CFS!I21,0)</f>
        <v>1058</v>
      </c>
      <c r="I89" s="47">
        <f>IFERROR(CFS!J21,0)</f>
        <v>1902</v>
      </c>
      <c r="J89" s="47">
        <f>IFERROR(CFS!K21,0)</f>
        <v>21</v>
      </c>
      <c r="K89" s="47">
        <f>IFERROR(CFS!L21,0)</f>
        <v>13</v>
      </c>
      <c r="L89" s="47">
        <f>IFERROR(CFS!M21,0)</f>
        <v>25</v>
      </c>
      <c r="M89" s="47">
        <f>IFERROR(CFS!N21,0)</f>
        <v>0</v>
      </c>
    </row>
    <row r="90" spans="2:13">
      <c r="B90" s="25" t="s">
        <v>157</v>
      </c>
      <c r="C90" s="47">
        <f>IFERROR(CFS!D22,0)</f>
        <v>35</v>
      </c>
      <c r="D90" s="47">
        <f>IFERROR(CFS!E22,0)</f>
        <v>17</v>
      </c>
      <c r="E90" s="47">
        <f>IFERROR(CFS!F22,0)</f>
        <v>0</v>
      </c>
      <c r="F90" s="47">
        <f>IFERROR(CFS!G22,0)</f>
        <v>269</v>
      </c>
      <c r="G90" s="47">
        <f>IFERROR(CFS!H22,0)</f>
        <v>0</v>
      </c>
      <c r="H90" s="47">
        <f>IFERROR(CFS!I22,0)</f>
        <v>0</v>
      </c>
      <c r="I90" s="47">
        <f>IFERROR(CFS!J22,0)</f>
        <v>0</v>
      </c>
      <c r="J90" s="47">
        <f>IFERROR(CFS!K22,0)</f>
        <v>0</v>
      </c>
      <c r="K90" s="47">
        <f>IFERROR(CFS!L22,0)</f>
        <v>145</v>
      </c>
      <c r="L90" s="47">
        <f>IFERROR(CFS!M22,0)</f>
        <v>0</v>
      </c>
      <c r="M90" s="47">
        <f>IFERROR(CFS!N22,0)</f>
        <v>0</v>
      </c>
    </row>
    <row r="91" spans="2:13">
      <c r="B91" s="25" t="s">
        <v>158</v>
      </c>
      <c r="C91" s="47">
        <f>IFERROR(CFS!D23,0)</f>
        <v>-173</v>
      </c>
      <c r="D91" s="47">
        <f>IFERROR(CFS!E23,0)</f>
        <v>-115</v>
      </c>
      <c r="E91" s="47">
        <f>IFERROR(CFS!F23,0)</f>
        <v>-213</v>
      </c>
      <c r="F91" s="47">
        <f>IFERROR(CFS!G23,0)</f>
        <v>-42</v>
      </c>
      <c r="G91" s="47">
        <f>IFERROR(CFS!H23,0)</f>
        <v>-270</v>
      </c>
      <c r="H91" s="47">
        <f>IFERROR(CFS!I23,0)</f>
        <v>-6</v>
      </c>
      <c r="I91" s="47">
        <f>IFERROR(CFS!J23,0)</f>
        <v>0</v>
      </c>
      <c r="J91" s="47">
        <f>IFERROR(CFS!K23,0)</f>
        <v>0</v>
      </c>
      <c r="K91" s="47">
        <f>IFERROR(CFS!L23,0)</f>
        <v>0</v>
      </c>
      <c r="L91" s="47">
        <f>IFERROR(CFS!M23,0)</f>
        <v>-363</v>
      </c>
      <c r="M91" s="47">
        <f>IFERROR(CFS!N23,0)</f>
        <v>0</v>
      </c>
    </row>
    <row r="92" spans="2:13">
      <c r="B92" s="25" t="s">
        <v>159</v>
      </c>
      <c r="C92" s="47">
        <f>IFERROR(CFS!D24,0)</f>
        <v>-45</v>
      </c>
      <c r="D92" s="47">
        <f>IFERROR(CFS!E24,0)</f>
        <v>-28</v>
      </c>
      <c r="E92" s="47">
        <f>IFERROR(CFS!F24,0)</f>
        <v>-21</v>
      </c>
      <c r="F92" s="47">
        <f>IFERROR(CFS!G24,0)</f>
        <v>-13</v>
      </c>
      <c r="G92" s="47">
        <f>IFERROR(CFS!H24,0)</f>
        <v>-9</v>
      </c>
      <c r="H92" s="47">
        <f>IFERROR(CFS!I24,0)</f>
        <v>-8</v>
      </c>
      <c r="I92" s="47">
        <f>IFERROR(CFS!J24,0)</f>
        <v>-10</v>
      </c>
      <c r="J92" s="47">
        <f>IFERROR(CFS!K24,0)</f>
        <v>-8</v>
      </c>
      <c r="K92" s="47">
        <f>IFERROR(CFS!L24,0)</f>
        <v>-36</v>
      </c>
      <c r="L92" s="47">
        <f>IFERROR(CFS!M24,0)</f>
        <v>-26</v>
      </c>
      <c r="M92" s="47">
        <f>IFERROR(CFS!N24,0)</f>
        <v>0</v>
      </c>
    </row>
    <row r="93" spans="2:13">
      <c r="B93" s="25" t="s">
        <v>160</v>
      </c>
      <c r="C93" s="47">
        <f>IFERROR(CFS!D25,0)</f>
        <v>-13</v>
      </c>
      <c r="D93" s="47">
        <f>IFERROR(CFS!E25,0)</f>
        <v>-13</v>
      </c>
      <c r="E93" s="47">
        <f>IFERROR(CFS!F25,0)</f>
        <v>-16</v>
      </c>
      <c r="F93" s="47">
        <f>IFERROR(CFS!G25,0)</f>
        <v>-22</v>
      </c>
      <c r="G93" s="47">
        <f>IFERROR(CFS!H25,0)</f>
        <v>-26</v>
      </c>
      <c r="H93" s="47">
        <f>IFERROR(CFS!I25,0)</f>
        <v>-25</v>
      </c>
      <c r="I93" s="47">
        <f>IFERROR(CFS!J25,0)</f>
        <v>-74</v>
      </c>
      <c r="J93" s="47">
        <f>IFERROR(CFS!K25,0)</f>
        <v>-76</v>
      </c>
      <c r="K93" s="47">
        <f>IFERROR(CFS!L25,0)</f>
        <v>-76</v>
      </c>
      <c r="L93" s="47">
        <f>IFERROR(CFS!M25,0)</f>
        <v>-305</v>
      </c>
      <c r="M93" s="47">
        <f>IFERROR(CFS!N25,0)</f>
        <v>0</v>
      </c>
    </row>
    <row r="94" spans="2:13">
      <c r="B94" s="25" t="s">
        <v>161</v>
      </c>
      <c r="C94" s="47">
        <f>IFERROR(CFS!D26,0)</f>
        <v>0</v>
      </c>
      <c r="D94" s="47">
        <f>IFERROR(CFS!E26,0)</f>
        <v>0</v>
      </c>
      <c r="E94" s="47">
        <f>IFERROR(CFS!F26,0)</f>
        <v>0</v>
      </c>
      <c r="F94" s="47">
        <f>IFERROR(CFS!G26,0)</f>
        <v>0</v>
      </c>
      <c r="G94" s="47">
        <f>IFERROR(CFS!H26,0)</f>
        <v>-3</v>
      </c>
      <c r="H94" s="47">
        <f>IFERROR(CFS!I26,0)</f>
        <v>-5</v>
      </c>
      <c r="I94" s="47">
        <f>IFERROR(CFS!J26,0)</f>
        <v>-6</v>
      </c>
      <c r="J94" s="47">
        <f>IFERROR(CFS!K26,0)</f>
        <v>-7</v>
      </c>
      <c r="K94" s="47">
        <f>IFERROR(CFS!L26,0)</f>
        <v>-26</v>
      </c>
      <c r="L94" s="47">
        <f>IFERROR(CFS!M26,0)</f>
        <v>-30</v>
      </c>
      <c r="M94" s="47">
        <f>IFERROR(CFS!N26,0)</f>
        <v>0</v>
      </c>
    </row>
    <row r="95" spans="2:13">
      <c r="B95" s="25" t="s">
        <v>162</v>
      </c>
      <c r="C95" s="47">
        <f>IFERROR(CFS!D27,0)</f>
        <v>0</v>
      </c>
      <c r="D95" s="47">
        <f>IFERROR(CFS!E27,0)</f>
        <v>0</v>
      </c>
      <c r="E95" s="47">
        <f>IFERROR(CFS!F27,0)</f>
        <v>250</v>
      </c>
      <c r="F95" s="47">
        <f>IFERROR(CFS!G27,0)</f>
        <v>0</v>
      </c>
      <c r="G95" s="47">
        <f>IFERROR(CFS!H27,0)</f>
        <v>0</v>
      </c>
      <c r="H95" s="47">
        <f>IFERROR(CFS!I27,0)</f>
        <v>0</v>
      </c>
      <c r="I95" s="47">
        <f>IFERROR(CFS!J27,0)</f>
        <v>0</v>
      </c>
      <c r="J95" s="47">
        <f>IFERROR(CFS!K27,0)</f>
        <v>0</v>
      </c>
      <c r="K95" s="47">
        <f>IFERROR(CFS!L27,0)</f>
        <v>0</v>
      </c>
      <c r="L95" s="47">
        <f>IFERROR(CFS!M27,0)</f>
        <v>0</v>
      </c>
      <c r="M95" s="47">
        <f>IFERROR(CFS!N27,0)</f>
        <v>0</v>
      </c>
    </row>
    <row r="96" spans="2:13">
      <c r="B96" s="30" t="s">
        <v>173</v>
      </c>
      <c r="C96" s="35">
        <f>IFERROR(SUM(C89:C95),0)</f>
        <v>-195</v>
      </c>
      <c r="D96" s="35">
        <f t="shared" ref="D96:M96" si="23">IFERROR(SUM(D89:D95),0)</f>
        <v>-138</v>
      </c>
      <c r="E96" s="35">
        <f t="shared" si="23"/>
        <v>0</v>
      </c>
      <c r="F96" s="35">
        <f t="shared" si="23"/>
        <v>192</v>
      </c>
      <c r="G96" s="35">
        <f t="shared" si="23"/>
        <v>-308</v>
      </c>
      <c r="H96" s="35">
        <f t="shared" si="23"/>
        <v>1014</v>
      </c>
      <c r="I96" s="35">
        <f t="shared" si="23"/>
        <v>1812</v>
      </c>
      <c r="J96" s="35">
        <f t="shared" si="23"/>
        <v>-70</v>
      </c>
      <c r="K96" s="35">
        <f t="shared" si="23"/>
        <v>20</v>
      </c>
      <c r="L96" s="35">
        <f t="shared" si="23"/>
        <v>-699</v>
      </c>
      <c r="M96" s="35">
        <f t="shared" si="23"/>
        <v>0</v>
      </c>
    </row>
    <row r="98" spans="2:13">
      <c r="B98" s="52" t="s">
        <v>174</v>
      </c>
      <c r="C98" s="53">
        <f>IFERROR(SUM(C76,C86,C96),0)</f>
        <v>29</v>
      </c>
      <c r="D98" s="53">
        <f t="shared" ref="D98:M98" si="24">IFERROR(SUM(D76,D86,D96),0)</f>
        <v>107</v>
      </c>
      <c r="E98" s="53">
        <f t="shared" si="24"/>
        <v>209</v>
      </c>
      <c r="F98" s="53">
        <f t="shared" si="24"/>
        <v>-493</v>
      </c>
      <c r="G98" s="53">
        <f t="shared" si="24"/>
        <v>659</v>
      </c>
      <c r="H98" s="53">
        <f t="shared" si="24"/>
        <v>569</v>
      </c>
      <c r="I98" s="53">
        <f t="shared" si="24"/>
        <v>-387</v>
      </c>
      <c r="J98" s="53">
        <f t="shared" si="24"/>
        <v>-108</v>
      </c>
      <c r="K98" s="53">
        <f t="shared" si="24"/>
        <v>-26</v>
      </c>
      <c r="L98" s="53">
        <f t="shared" si="24"/>
        <v>653</v>
      </c>
      <c r="M98" s="53">
        <f t="shared" si="24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F908-0307-48D4-8EE1-4F1A0AC5D6E7}">
  <sheetPr>
    <tabColor rgb="FF92D050"/>
  </sheetPr>
  <dimension ref="A1:O52"/>
  <sheetViews>
    <sheetView zoomScale="95" workbookViewId="0">
      <pane ySplit="2" topLeftCell="A8" activePane="bottomLeft" state="frozen"/>
      <selection pane="bottomLeft" activeCell="F24" sqref="F24"/>
    </sheetView>
  </sheetViews>
  <sheetFormatPr defaultColWidth="8.90625" defaultRowHeight="14.5"/>
  <cols>
    <col min="1" max="1" width="34.453125" style="55" bestFit="1" customWidth="1"/>
    <col min="2" max="2" width="7.6328125" style="55" bestFit="1" customWidth="1"/>
    <col min="3" max="3" width="8" style="55" bestFit="1" customWidth="1"/>
    <col min="4" max="4" width="7.6328125" style="55" bestFit="1" customWidth="1"/>
    <col min="5" max="5" width="8.6328125" style="55" customWidth="1"/>
    <col min="6" max="6" width="7.6328125" style="55" bestFit="1" customWidth="1"/>
    <col min="7" max="7" width="8" style="55" bestFit="1" customWidth="1"/>
    <col min="8" max="8" width="7.6328125" style="55" bestFit="1" customWidth="1"/>
    <col min="9" max="9" width="7.08984375" style="55" bestFit="1" customWidth="1"/>
    <col min="10" max="10" width="8" style="55" bestFit="1" customWidth="1"/>
    <col min="11" max="11" width="7.08984375" style="55" bestFit="1" customWidth="1"/>
    <col min="12" max="12" width="11.90625" style="55" customWidth="1"/>
    <col min="13" max="13" width="10" style="55" bestFit="1" customWidth="1"/>
    <col min="14" max="14" width="9" style="55" bestFit="1" customWidth="1"/>
    <col min="15" max="16384" width="8.90625" style="55"/>
  </cols>
  <sheetData>
    <row r="1" spans="1:15">
      <c r="A1" s="54"/>
      <c r="B1" s="54"/>
      <c r="C1" s="27"/>
      <c r="D1" s="27"/>
      <c r="E1" s="27" t="str">
        <f>"RATIO ANALYSIS OF - "&amp;'Data Sheet'!B1</f>
        <v>RATIO ANALYSIS OF - ESCORTS KUBOTA LTD</v>
      </c>
      <c r="F1" s="27"/>
      <c r="G1" s="27"/>
      <c r="H1" s="27"/>
      <c r="I1" s="27"/>
      <c r="J1" s="27"/>
      <c r="K1" s="27"/>
      <c r="L1" s="54"/>
      <c r="M1" s="54"/>
    </row>
    <row r="2" spans="1:15">
      <c r="A2" s="27" t="s">
        <v>93</v>
      </c>
      <c r="B2" s="28">
        <f>'Data Sheet'!B16</f>
        <v>42460</v>
      </c>
      <c r="C2" s="28">
        <f>'Data Sheet'!C16</f>
        <v>42825</v>
      </c>
      <c r="D2" s="28">
        <f>'Data Sheet'!D16</f>
        <v>43190</v>
      </c>
      <c r="E2" s="28">
        <f>'Data Sheet'!E16</f>
        <v>43555</v>
      </c>
      <c r="F2" s="28">
        <f>'Data Sheet'!F16</f>
        <v>43921</v>
      </c>
      <c r="G2" s="28">
        <f>'Data Sheet'!G16</f>
        <v>44286</v>
      </c>
      <c r="H2" s="28">
        <f>'Data Sheet'!H16</f>
        <v>44651</v>
      </c>
      <c r="I2" s="28">
        <f>'Data Sheet'!I16</f>
        <v>45016</v>
      </c>
      <c r="J2" s="28">
        <f>'Data Sheet'!J16</f>
        <v>45382</v>
      </c>
      <c r="K2" s="28">
        <f>'Data Sheet'!K16</f>
        <v>45747</v>
      </c>
      <c r="L2" s="82" t="s">
        <v>208</v>
      </c>
      <c r="M2" s="82" t="s">
        <v>206</v>
      </c>
      <c r="N2" s="28" t="s">
        <v>207</v>
      </c>
      <c r="O2" s="28"/>
    </row>
    <row r="3" spans="1:15">
      <c r="A3" s="54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1:15">
      <c r="A4" s="58" t="s">
        <v>176</v>
      </c>
      <c r="B4" s="59" t="str">
        <f>IFERROR('HISTORICAL FS'!C6,0)</f>
        <v>-</v>
      </c>
      <c r="C4" s="60">
        <f>IFERROR('HISTORICAL FS'!D6,0)</f>
        <v>0.20785025597393947</v>
      </c>
      <c r="D4" s="60">
        <f>IFERROR('HISTORICAL FS'!E6,0)</f>
        <v>0.22049149283651737</v>
      </c>
      <c r="E4" s="60">
        <f>IFERROR('HISTORICAL FS'!F6,0)</f>
        <v>0.23771480074476115</v>
      </c>
      <c r="F4" s="60">
        <f>IFERROR('HISTORICAL FS'!G6,0)</f>
        <v>-7.2170002650901788E-2</v>
      </c>
      <c r="G4" s="60">
        <f>IFERROR('HISTORICAL FS'!H6,0)</f>
        <v>0.20728250336913878</v>
      </c>
      <c r="H4" s="60">
        <f>IFERROR('HISTORICAL FS'!I6,0)</f>
        <v>3.8239797445833057E-2</v>
      </c>
      <c r="I4" s="60">
        <f>IFERROR('HISTORICAL FS'!J6,0)</f>
        <v>0.15736579404475037</v>
      </c>
      <c r="J4" s="60">
        <f>IFERROR('HISTORICAL FS'!K6,0)</f>
        <v>0.16312143405440227</v>
      </c>
      <c r="K4" s="60">
        <f>IFERROR('HISTORICAL FS'!L6,0)</f>
        <v>4.4911098893364532E-2</v>
      </c>
      <c r="L4" s="79"/>
      <c r="M4" s="60">
        <f>IFERROR(AVERAGE(C4:K4),0)</f>
        <v>0.13386746385686724</v>
      </c>
      <c r="N4" s="60">
        <f>IFERROR(MEDIAN(C4:K4),0)</f>
        <v>0.16312143405440227</v>
      </c>
    </row>
    <row r="5" spans="1:15">
      <c r="A5" s="55" t="s">
        <v>177</v>
      </c>
      <c r="B5" s="77" t="s">
        <v>97</v>
      </c>
      <c r="C5" s="57">
        <f>IFERROR('HISTORICAL FS'!E17/'HISTORICAL FS'!D17-1,0)</f>
        <v>1.0664351333184023</v>
      </c>
      <c r="D5" s="57">
        <f>IFERROR('HISTORICAL FS'!F17/'HISTORICAL FS'!E17-1,0)</f>
        <v>0.30581006596186722</v>
      </c>
      <c r="E5" s="57">
        <f>IFERROR('HISTORICAL FS'!G17/'HISTORICAL FS'!F17-1,0)</f>
        <v>-8.4766873797693654E-2</v>
      </c>
      <c r="F5" s="57">
        <f>IFERROR('HISTORICAL FS'!H17/'HISTORICAL FS'!G17-1,0)</f>
        <v>0.70268553801487843</v>
      </c>
      <c r="G5" s="57">
        <f>IFERROR('HISTORICAL FS'!I17/'HISTORICAL FS'!H17-1,0)</f>
        <v>-0.14205786753343697</v>
      </c>
      <c r="H5" s="57">
        <f>IFERROR('HISTORICAL FS'!J17/'HISTORICAL FS'!I17-1,0)</f>
        <v>-0.20290665176075906</v>
      </c>
      <c r="I5" s="57">
        <f>IFERROR('HISTORICAL FS'!K17/'HISTORICAL FS'!J17-1,0)</f>
        <v>0.46793673055944951</v>
      </c>
      <c r="J5" s="57">
        <f>IFERROR('HISTORICAL FS'!L17/'HISTORICAL FS'!K17-1,0)</f>
        <v>2.991940691985695E-2</v>
      </c>
      <c r="K5" s="57">
        <f>IFERROR('HISTORICAL FS'!M17/'HISTORICAL FS'!L17-1,0)</f>
        <v>4.5147269775553722E-2</v>
      </c>
      <c r="L5" s="57"/>
      <c r="M5" s="57">
        <f t="shared" ref="M5:M8" si="0">IFERROR(AVERAGE(C5:K5),0)</f>
        <v>0.24313363905090205</v>
      </c>
      <c r="N5" s="57">
        <f t="shared" ref="N5:N8" si="1">IFERROR(MEDIAN(C5:K5),0)</f>
        <v>4.5147269775553722E-2</v>
      </c>
      <c r="O5" s="55" t="s">
        <v>202</v>
      </c>
    </row>
    <row r="6" spans="1:15">
      <c r="A6" s="55" t="s">
        <v>178</v>
      </c>
      <c r="B6" s="77" t="s">
        <v>97</v>
      </c>
      <c r="C6" s="57">
        <f>IFERROR('HISTORICAL FS'!E26/'HISTORICAL FS'!D26-1,0)</f>
        <v>1.6177171071739886</v>
      </c>
      <c r="D6" s="57">
        <f>IFERROR('HISTORICAL FS'!F26/'HISTORICAL FS'!E26-1,0)</f>
        <v>0.36654535771347252</v>
      </c>
      <c r="E6" s="57">
        <f>IFERROR('HISTORICAL FS'!G26/'HISTORICAL FS'!F26-1,0)</f>
        <v>-0.12820304634471047</v>
      </c>
      <c r="F6" s="57">
        <f>IFERROR('HISTORICAL FS'!H26/'HISTORICAL FS'!G26-1,0)</f>
        <v>0.85221748281706811</v>
      </c>
      <c r="G6" s="57">
        <f>IFERROR('HISTORICAL FS'!I26/'HISTORICAL FS'!H26-1,0)</f>
        <v>-0.17635760257441735</v>
      </c>
      <c r="H6" s="57">
        <f>IFERROR('HISTORICAL FS'!J26/'HISTORICAL FS'!I26-1,0)</f>
        <v>-0.2592334835109813</v>
      </c>
      <c r="I6" s="57">
        <f>IFERROR('HISTORICAL FS'!K26/'HISTORICAL FS'!J26-1,0)</f>
        <v>0.42514545664320447</v>
      </c>
      <c r="J6" s="57">
        <f>IFERROR('HISTORICAL FS'!L26/'HISTORICAL FS'!K26-1,0)</f>
        <v>3.0902677383911392E-2</v>
      </c>
      <c r="K6" s="57">
        <f>IFERROR('HISTORICAL FS'!M26/'HISTORICAL FS'!L26-1,0)</f>
        <v>5.6070991844017204E-2</v>
      </c>
      <c r="L6" s="57"/>
      <c r="M6" s="57">
        <f t="shared" si="0"/>
        <v>0.30942277123839484</v>
      </c>
      <c r="N6" s="57">
        <f t="shared" si="1"/>
        <v>5.6070991844017204E-2</v>
      </c>
    </row>
    <row r="7" spans="1:15">
      <c r="A7" s="55" t="s">
        <v>179</v>
      </c>
      <c r="B7" s="77" t="s">
        <v>97</v>
      </c>
      <c r="C7" s="57">
        <f>IFERROR('HISTORICAL FS'!E32/'HISTORICAL FS'!D32-1,0)</f>
        <v>2.0363540569020273</v>
      </c>
      <c r="D7" s="57">
        <f>IFERROR('HISTORICAL FS'!F32/'HISTORICAL FS'!E32-1,0)</f>
        <v>0.3142807565504051</v>
      </c>
      <c r="E7" s="57">
        <f>IFERROR('HISTORICAL FS'!G32/'HISTORICAL FS'!F32-1,0)</f>
        <v>1.2225713606718758E-2</v>
      </c>
      <c r="F7" s="57">
        <f>IFERROR('HISTORICAL FS'!H32/'HISTORICAL FS'!G32-1,0)</f>
        <v>0.85540251473887241</v>
      </c>
      <c r="G7" s="57">
        <f>IFERROR('HISTORICAL FS'!I32/'HISTORICAL FS'!H32-1,0)</f>
        <v>-0.21010896309314686</v>
      </c>
      <c r="H7" s="57">
        <f>IFERROR('HISTORICAL FS'!J32/'HISTORICAL FS'!I32-1,0)</f>
        <v>-0.2724052615652961</v>
      </c>
      <c r="I7" s="57">
        <f>IFERROR('HISTORICAL FS'!K32/'HISTORICAL FS'!J32-1,0)</f>
        <v>0.34855786872813233</v>
      </c>
      <c r="J7" s="57">
        <f>IFERROR('HISTORICAL FS'!L32/'HISTORICAL FS'!K32-1,0)</f>
        <v>0.20529705215419303</v>
      </c>
      <c r="K7" s="57">
        <f>IFERROR('HISTORICAL FS'!M32/'HISTORICAL FS'!L32-1,0)</f>
        <v>5.604888474158165E-2</v>
      </c>
      <c r="L7" s="57"/>
      <c r="M7" s="57">
        <f t="shared" si="0"/>
        <v>0.37173918030705422</v>
      </c>
      <c r="N7" s="57">
        <f t="shared" si="1"/>
        <v>0.20529705215419303</v>
      </c>
    </row>
    <row r="8" spans="1:15">
      <c r="A8" s="61" t="s">
        <v>180</v>
      </c>
      <c r="B8" s="78" t="s">
        <v>97</v>
      </c>
      <c r="C8" s="62">
        <f>IFERROR('HISTORICAL FS'!D40/'HISTORICAL FS'!C40-1,0)</f>
        <v>0.25016995241332407</v>
      </c>
      <c r="D8" s="62">
        <f>IFERROR('HISTORICAL FS'!E40/'HISTORICAL FS'!D40-1,0)</f>
        <v>0.33333333333333326</v>
      </c>
      <c r="E8" s="62">
        <f>IFERROR('HISTORICAL FS'!F40/'HISTORICAL FS'!E40-1,0)</f>
        <v>0.24959216965742259</v>
      </c>
      <c r="F8" s="62">
        <f>IFERROR('HISTORICAL FS'!G40/'HISTORICAL FS'!F40-1,0)</f>
        <v>0</v>
      </c>
      <c r="G8" s="62">
        <f>IFERROR('HISTORICAL FS'!H40/'HISTORICAL FS'!G40-1,0)</f>
        <v>2.0015727777734731</v>
      </c>
      <c r="H8" s="62">
        <f>IFERROR('HISTORICAL FS'!I40/'HISTORICAL FS'!H40-1,0)</f>
        <v>-6.6548065757526254E-2</v>
      </c>
      <c r="I8" s="62">
        <f>IFERROR('HISTORICAL FS'!J40/'HISTORICAL FS'!I40-1,0)</f>
        <v>0</v>
      </c>
      <c r="J8" s="62">
        <f>IFERROR('HISTORICAL FS'!K40/'HISTORICAL FS'!J40-1,0)</f>
        <v>1.5705933304460804</v>
      </c>
      <c r="K8" s="62">
        <f>IFERROR('HISTORICAL FS'!L40/'HISTORICAL FS'!K40-1,0)</f>
        <v>0.55525767053917185</v>
      </c>
      <c r="L8" s="62"/>
      <c r="M8" s="62">
        <f t="shared" si="0"/>
        <v>0.54377457426725329</v>
      </c>
      <c r="N8" s="62">
        <f t="shared" si="1"/>
        <v>0.25016995241332407</v>
      </c>
    </row>
    <row r="9" spans="1:15">
      <c r="M9" s="57"/>
      <c r="N9" s="57"/>
    </row>
    <row r="10" spans="1:15">
      <c r="A10" s="58" t="s">
        <v>175</v>
      </c>
      <c r="B10" s="60">
        <f>IFERROR('HISTORICAL FS'!C12,0)</f>
        <v>0.14557734725334279</v>
      </c>
      <c r="C10" s="60">
        <f>IFERROR('HISTORICAL FS'!D12,0)</f>
        <v>0.17256768459929595</v>
      </c>
      <c r="D10" s="60">
        <f>IFERROR('HISTORICAL FS'!E12,0)</f>
        <v>0.19485545545466415</v>
      </c>
      <c r="E10" s="60">
        <f>IFERROR('HISTORICAL FS'!F12,0)</f>
        <v>0.19665539234943355</v>
      </c>
      <c r="F10" s="60">
        <f>IFERROR('HISTORICAL FS'!G12,0)</f>
        <v>0.20597443413096878</v>
      </c>
      <c r="G10" s="60">
        <f>IFERROR('HISTORICAL FS'!H12,0)</f>
        <v>0.22400426549878683</v>
      </c>
      <c r="H10" s="60">
        <f>IFERROR('HISTORICAL FS'!I12,0)</f>
        <v>0.20346027888200033</v>
      </c>
      <c r="I10" s="60">
        <f>IFERROR('HISTORICAL FS'!J12,0)</f>
        <v>0.16093722749324041</v>
      </c>
      <c r="J10" s="60">
        <f>IFERROR('HISTORICAL FS'!K12,0)</f>
        <v>0.17716469170987356</v>
      </c>
      <c r="K10" s="60">
        <f>IFERROR('HISTORICAL FS'!L12,0)</f>
        <v>0.17338059407177733</v>
      </c>
      <c r="L10" s="80"/>
      <c r="M10" s="72">
        <f>IFERROR(AVERAGE(B10:K10),0)</f>
        <v>0.18545773714433836</v>
      </c>
      <c r="N10" s="72">
        <f>IFERROR(AVERAGE(C10:L10),0)</f>
        <v>0.18988889157667121</v>
      </c>
    </row>
    <row r="11" spans="1:15">
      <c r="A11" s="55" t="s">
        <v>181</v>
      </c>
      <c r="B11" s="57">
        <f>IFERROR('HISTORICAL FS'!C18,0)</f>
        <v>4.6896989793093771E-2</v>
      </c>
      <c r="C11" s="57">
        <f>IFERROR('HISTORICAL FS'!D18,0)</f>
        <v>6.4597993404626269E-2</v>
      </c>
      <c r="D11" s="57">
        <f>IFERROR('HISTORICAL FS'!E18,0)</f>
        <v>0.10937197341945799</v>
      </c>
      <c r="E11" s="57">
        <f>IFERROR('HISTORICAL FS'!F18,0)</f>
        <v>0.11538928333029917</v>
      </c>
      <c r="F11" s="57">
        <f>IFERROR('HISTORICAL FS'!G18,0)</f>
        <v>0.11382267744561625</v>
      </c>
      <c r="G11" s="57">
        <f>IFERROR('HISTORICAL FS'!H18,0)</f>
        <v>0.16052930962217835</v>
      </c>
      <c r="H11" s="57">
        <f>IFERROR('HISTORICAL FS'!I18,0)</f>
        <v>0.132652262569257</v>
      </c>
      <c r="I11" s="57">
        <f>IFERROR('HISTORICAL FS'!J18,0)</f>
        <v>9.1359392740746267E-2</v>
      </c>
      <c r="J11" s="57">
        <f>IFERROR('HISTORICAL FS'!K18,0)</f>
        <v>0.11530163950144788</v>
      </c>
      <c r="K11" s="57">
        <f>IFERROR('HISTORICAL FS'!L18,0)</f>
        <v>0.11364736798947257</v>
      </c>
      <c r="L11" s="80"/>
      <c r="M11" s="72">
        <f t="shared" ref="M11:M51" si="2">IFERROR(AVERAGE(B11:K11),0)</f>
        <v>0.10635688898161955</v>
      </c>
      <c r="N11" s="72">
        <f t="shared" ref="N11:N51" si="3">IFERROR(AVERAGE(C11:L11),0)</f>
        <v>0.1129635444470113</v>
      </c>
    </row>
    <row r="12" spans="1:15">
      <c r="A12" s="55" t="s">
        <v>182</v>
      </c>
      <c r="B12" s="57">
        <f>IFERROR(('HISTORICAL FS'!C17-'HISTORICAL FS'!C23)/'HISTORICAL FS'!C5,0)</f>
        <v>2.9959294753189807E-2</v>
      </c>
      <c r="C12" s="57">
        <f>IFERROR(('HISTORICAL FS'!D17-'HISTORICAL FS'!D23)/'HISTORICAL FS'!D5,0)</f>
        <v>4.9298849548769189E-2</v>
      </c>
      <c r="D12" s="57">
        <f>IFERROR(('HISTORICAL FS'!E17-'HISTORICAL FS'!E23)/'HISTORICAL FS'!E5,0)</f>
        <v>9.4899730004308971E-2</v>
      </c>
      <c r="E12" s="57">
        <f>IFERROR(('HISTORICAL FS'!F17-'HISTORICAL FS'!F23)/'HISTORICAL FS'!F5,0)</f>
        <v>0.10146246738272953</v>
      </c>
      <c r="F12" s="57">
        <f>IFERROR(('HISTORICAL FS'!G17-'HISTORICAL FS'!G23)/'HISTORICAL FS'!G5,0)</f>
        <v>9.536857432501053E-2</v>
      </c>
      <c r="G12" s="57">
        <f>IFERROR(('HISTORICAL FS'!H17-'HISTORICAL FS'!H23)/'HISTORICAL FS'!H5,0)</f>
        <v>0.14366690332201382</v>
      </c>
      <c r="H12" s="57">
        <f>IFERROR(('HISTORICAL FS'!I17-'HISTORICAL FS'!I23)/'HISTORICAL FS'!I5,0)</f>
        <v>0.1145187534757265</v>
      </c>
      <c r="I12" s="57">
        <f>IFERROR(('HISTORICAL FS'!J17-'HISTORICAL FS'!J23)/'HISTORICAL FS'!J5,0)</f>
        <v>7.3555914382899434E-2</v>
      </c>
      <c r="J12" s="57">
        <f>IFERROR(('HISTORICAL FS'!K17-'HISTORICAL FS'!K23)/'HISTORICAL FS'!K5,0)</f>
        <v>9.2446746548968228E-2</v>
      </c>
      <c r="K12" s="57">
        <f>IFERROR(('HISTORICAL FS'!L17-'HISTORICAL FS'!L23)/'HISTORICAL FS'!L5,0)</f>
        <v>8.9862434936762076E-2</v>
      </c>
      <c r="L12" s="80"/>
      <c r="M12" s="72">
        <f t="shared" si="2"/>
        <v>8.8503966868037798E-2</v>
      </c>
      <c r="N12" s="72">
        <f t="shared" si="3"/>
        <v>9.500893043635425E-2</v>
      </c>
    </row>
    <row r="13" spans="1:15">
      <c r="A13" s="55" t="s">
        <v>183</v>
      </c>
      <c r="B13" s="57">
        <f>IFERROR('HISTORICAL FS'!C27,0)</f>
        <v>1.5081629025725565E-2</v>
      </c>
      <c r="C13" s="57">
        <f>IFERROR('HISTORICAL FS'!D27,0)</f>
        <v>4.1528659961932925E-2</v>
      </c>
      <c r="D13" s="57">
        <f>IFERROR('HISTORICAL FS'!E27,0)</f>
        <v>8.9070906481873255E-2</v>
      </c>
      <c r="E13" s="57">
        <f>IFERROR('HISTORICAL FS'!F27,0)</f>
        <v>9.8342068533795804E-2</v>
      </c>
      <c r="F13" s="57">
        <f>IFERROR('HISTORICAL FS'!G27,0)</f>
        <v>9.2403043670580054E-2</v>
      </c>
      <c r="G13" s="57">
        <f>IFERROR('HISTORICAL FS'!H27,0)</f>
        <v>0.14176510673726411</v>
      </c>
      <c r="H13" s="57">
        <f>IFERROR('HISTORICAL FS'!I27,0)</f>
        <v>0.11246318304463342</v>
      </c>
      <c r="I13" s="57">
        <f>IFERROR('HISTORICAL FS'!J27,0)</f>
        <v>7.1981529751361198E-2</v>
      </c>
      <c r="J13" s="57">
        <f>IFERROR('HISTORICAL FS'!K27,0)</f>
        <v>8.8197282832105317E-2</v>
      </c>
      <c r="K13" s="57">
        <f>IFERROR('HISTORICAL FS'!L27,0)</f>
        <v>8.7014881080215545E-2</v>
      </c>
      <c r="L13" s="80"/>
      <c r="M13" s="72">
        <f t="shared" si="2"/>
        <v>8.3784829111948705E-2</v>
      </c>
      <c r="N13" s="72">
        <f t="shared" si="3"/>
        <v>9.1418518010417962E-2</v>
      </c>
    </row>
    <row r="14" spans="1:15">
      <c r="A14" s="61" t="s">
        <v>184</v>
      </c>
      <c r="B14" s="62">
        <f>IFERROR('HISTORICAL FS'!C33,0)</f>
        <v>1.1506443783344323E-2</v>
      </c>
      <c r="C14" s="62">
        <f>IFERROR('HISTORICAL FS'!D33,0)</f>
        <v>2.2893231660687911E-2</v>
      </c>
      <c r="D14" s="62">
        <f>IFERROR('HISTORICAL FS'!E33,0)</f>
        <v>5.6954069107828409E-2</v>
      </c>
      <c r="E14" s="62">
        <f>IFERROR('HISTORICAL FS'!F33,0)</f>
        <v>6.0477290075726366E-2</v>
      </c>
      <c r="F14" s="62">
        <f>IFERROR('HISTORICAL FS'!G33,0)</f>
        <v>6.5978323915808615E-2</v>
      </c>
      <c r="G14" s="62">
        <f>IFERROR('HISTORICAL FS'!H33,0)</f>
        <v>0.10139826243652365</v>
      </c>
      <c r="H14" s="62">
        <f>IFERROR('HISTORICAL FS'!I33,0)</f>
        <v>7.7143622170501053E-2</v>
      </c>
      <c r="I14" s="62">
        <f>IFERROR('HISTORICAL FS'!J33,0)</f>
        <v>4.8497453340910698E-2</v>
      </c>
      <c r="J14" s="62">
        <f>IFERROR('HISTORICAL FS'!K33,0)</f>
        <v>5.6229401678364703E-2</v>
      </c>
      <c r="K14" s="62">
        <f>IFERROR('HISTORICAL FS'!L33,0)</f>
        <v>6.4860189693748682E-2</v>
      </c>
      <c r="L14" s="80"/>
      <c r="M14" s="72">
        <f t="shared" si="2"/>
        <v>5.6593828786344447E-2</v>
      </c>
      <c r="N14" s="72">
        <f t="shared" si="3"/>
        <v>6.1603538231122239E-2</v>
      </c>
    </row>
    <row r="15" spans="1:15">
      <c r="L15" s="80"/>
      <c r="M15" s="72"/>
      <c r="N15" s="72"/>
    </row>
    <row r="16" spans="1:15">
      <c r="A16" s="58" t="s">
        <v>185</v>
      </c>
      <c r="B16" s="60">
        <f>IFERROR('HISTORICAL FS'!C15,0)</f>
        <v>9.8680357460249016E-2</v>
      </c>
      <c r="C16" s="60">
        <f>IFERROR('HISTORICAL FS'!D15,0)</f>
        <v>0.10796969119466968</v>
      </c>
      <c r="D16" s="60">
        <f>IFERROR('HISTORICAL FS'!E15,0)</f>
        <v>8.5483482035206171E-2</v>
      </c>
      <c r="E16" s="60">
        <f>IFERROR('HISTORICAL FS'!F15,0)</f>
        <v>8.1266109019134392E-2</v>
      </c>
      <c r="F16" s="60">
        <f>IFERROR('HISTORICAL FS'!G15,0)</f>
        <v>9.215175668535254E-2</v>
      </c>
      <c r="G16" s="60">
        <f>IFERROR('HISTORICAL FS'!H15,0)</f>
        <v>6.347495587660848E-2</v>
      </c>
      <c r="H16" s="60">
        <f>IFERROR('HISTORICAL FS'!I15,0)</f>
        <v>7.0808016312743319E-2</v>
      </c>
      <c r="I16" s="60">
        <f>IFERROR('HISTORICAL FS'!J15,0)</f>
        <v>6.9577834752494155E-2</v>
      </c>
      <c r="J16" s="60">
        <f>IFERROR('HISTORICAL FS'!K15,0)</f>
        <v>6.1863052208425688E-2</v>
      </c>
      <c r="K16" s="60">
        <f>IFERROR('HISTORICAL FS'!L15,0)</f>
        <v>5.9733226082304754E-2</v>
      </c>
      <c r="L16" s="80"/>
      <c r="M16" s="72">
        <f t="shared" si="2"/>
        <v>7.9100848162718826E-2</v>
      </c>
      <c r="N16" s="72">
        <f t="shared" si="3"/>
        <v>7.6925347129659913E-2</v>
      </c>
    </row>
    <row r="17" spans="1:14">
      <c r="A17" s="55" t="s">
        <v>186</v>
      </c>
      <c r="B17" s="57">
        <f>IFERROR('HISTORICAL FS'!C24,0)</f>
        <v>1.6937695039903965E-2</v>
      </c>
      <c r="C17" s="57">
        <f>IFERROR('HISTORICAL FS'!D24,0)</f>
        <v>1.5299143855857074E-2</v>
      </c>
      <c r="D17" s="57">
        <f>IFERROR('HISTORICAL FS'!E24,0)</f>
        <v>1.4472243415149012E-2</v>
      </c>
      <c r="E17" s="57">
        <f>IFERROR('HISTORICAL FS'!F24,0)</f>
        <v>1.3926815947569633E-2</v>
      </c>
      <c r="F17" s="57">
        <f>IFERROR('HISTORICAL FS'!G24,0)</f>
        <v>1.8454103120605705E-2</v>
      </c>
      <c r="G17" s="57">
        <f>IFERROR('HISTORICAL FS'!H24,0)</f>
        <v>1.6862406300164518E-2</v>
      </c>
      <c r="H17" s="57">
        <f>IFERROR('HISTORICAL FS'!I24,0)</f>
        <v>1.8133509093530516E-2</v>
      </c>
      <c r="I17" s="57">
        <f>IFERROR('HISTORICAL FS'!J24,0)</f>
        <v>1.780347835784683E-2</v>
      </c>
      <c r="J17" s="57">
        <f>IFERROR('HISTORICAL FS'!K24,0)</f>
        <v>2.2854892952479652E-2</v>
      </c>
      <c r="K17" s="57">
        <f>IFERROR('HISTORICAL FS'!L24,0)</f>
        <v>2.37849330527105E-2</v>
      </c>
      <c r="L17" s="80"/>
      <c r="M17" s="72">
        <f t="shared" si="2"/>
        <v>1.7852922113581738E-2</v>
      </c>
      <c r="N17" s="72">
        <f t="shared" si="3"/>
        <v>1.7954614010657052E-2</v>
      </c>
    </row>
    <row r="18" spans="1:14">
      <c r="A18" s="61" t="s">
        <v>187</v>
      </c>
      <c r="B18" s="62">
        <f t="shared" ref="B18:K18" si="4">IFERROR(B12,0)</f>
        <v>2.9959294753189807E-2</v>
      </c>
      <c r="C18" s="62">
        <f t="shared" si="4"/>
        <v>4.9298849548769189E-2</v>
      </c>
      <c r="D18" s="62">
        <f t="shared" si="4"/>
        <v>9.4899730004308971E-2</v>
      </c>
      <c r="E18" s="62">
        <f t="shared" si="4"/>
        <v>0.10146246738272953</v>
      </c>
      <c r="F18" s="62">
        <f t="shared" si="4"/>
        <v>9.536857432501053E-2</v>
      </c>
      <c r="G18" s="62">
        <f t="shared" si="4"/>
        <v>0.14366690332201382</v>
      </c>
      <c r="H18" s="62">
        <f t="shared" si="4"/>
        <v>0.1145187534757265</v>
      </c>
      <c r="I18" s="62">
        <f t="shared" si="4"/>
        <v>7.3555914382899434E-2</v>
      </c>
      <c r="J18" s="62">
        <f t="shared" si="4"/>
        <v>9.2446746548968228E-2</v>
      </c>
      <c r="K18" s="62">
        <f t="shared" si="4"/>
        <v>8.9862434936762076E-2</v>
      </c>
      <c r="L18" s="80"/>
      <c r="M18" s="72">
        <f t="shared" si="2"/>
        <v>8.8503966868037798E-2</v>
      </c>
      <c r="N18" s="72">
        <f t="shared" si="3"/>
        <v>9.500893043635425E-2</v>
      </c>
    </row>
    <row r="19" spans="1:14">
      <c r="L19" s="80"/>
      <c r="M19" s="72"/>
      <c r="N19" s="72"/>
    </row>
    <row r="20" spans="1:14">
      <c r="A20" s="58" t="s">
        <v>188</v>
      </c>
      <c r="B20" s="60">
        <f>IFERROR(('HISTORICAL FS'!C17-'HISTORICAL FS'!C23)/(SUM('HISTORICAL FS'!C46,'HISTORICAL FS'!C47,'HISTORICAL FS'!C48)),0)</f>
        <v>5.6044914422762389E-2</v>
      </c>
      <c r="C20" s="60">
        <f>IFERROR(('HISTORICAL FS'!D17-'HISTORICAL FS'!D23)/(SUM('HISTORICAL FS'!D46,'HISTORICAL FS'!D47,'HISTORICAL FS'!D48)),0)</f>
        <v>0.10833563052651636</v>
      </c>
      <c r="D20" s="60">
        <f>IFERROR(('HISTORICAL FS'!E17-'HISTORICAL FS'!E23)/(SUM('HISTORICAL FS'!E46,'HISTORICAL FS'!E47,'HISTORICAL FS'!E48)),0)</f>
        <v>0.21186287358299932</v>
      </c>
      <c r="E20" s="60">
        <f>IFERROR(('HISTORICAL FS'!F17-'HISTORICAL FS'!F23)/(SUM('HISTORICAL FS'!F46,'HISTORICAL FS'!F47,'HISTORICAL FS'!F48)),0)</f>
        <v>0.21505187090659855</v>
      </c>
      <c r="F20" s="60">
        <f>IFERROR(('HISTORICAL FS'!G17-'HISTORICAL FS'!G23)/(SUM('HISTORICAL FS'!G46,'HISTORICAL FS'!G47,'HISTORICAL FS'!G48)),0)</f>
        <v>0.17506721810260134</v>
      </c>
      <c r="G20" s="60">
        <f>IFERROR(('HISTORICAL FS'!H17-'HISTORICAL FS'!H23)/(SUM('HISTORICAL FS'!H46,'HISTORICAL FS'!H47,'HISTORICAL FS'!H48)),0)</f>
        <v>0.19811116746678625</v>
      </c>
      <c r="H20" s="60">
        <f>IFERROR(('HISTORICAL FS'!I17-'HISTORICAL FS'!I23)/(SUM('HISTORICAL FS'!I46,'HISTORICAL FS'!I47,'HISTORICAL FS'!I48)),0)</f>
        <v>0.10899324999836636</v>
      </c>
      <c r="I20" s="60">
        <f>IFERROR(('HISTORICAL FS'!J17-'HISTORICAL FS'!J23)/(SUM('HISTORICAL FS'!J46,'HISTORICAL FS'!J47,'HISTORICAL FS'!J48)),0)</f>
        <v>7.5203693348261422E-2</v>
      </c>
      <c r="J20" s="60">
        <f>IFERROR(('HISTORICAL FS'!K17-'HISTORICAL FS'!K23)/(SUM('HISTORICAL FS'!K46,'HISTORICAL FS'!K47,'HISTORICAL FS'!K48)),0)</f>
        <v>9.213304503317582E-2</v>
      </c>
      <c r="K20" s="60">
        <f>IFERROR(('HISTORICAL FS'!L17-'HISTORICAL FS'!L23)/(SUM('HISTORICAL FS'!L46,'HISTORICAL FS'!L47,'HISTORICAL FS'!L48)),0)</f>
        <v>8.7905057114318244E-2</v>
      </c>
      <c r="L20" s="80"/>
      <c r="M20" s="72">
        <f t="shared" si="2"/>
        <v>0.13287087205023862</v>
      </c>
      <c r="N20" s="72">
        <f t="shared" si="3"/>
        <v>0.14140708956440265</v>
      </c>
    </row>
    <row r="21" spans="1:14">
      <c r="A21" s="55" t="s">
        <v>189</v>
      </c>
      <c r="B21" s="57">
        <f>IFERROR('HISTORICAL FS'!C43,0)</f>
        <v>0.62750063307166259</v>
      </c>
      <c r="C21" s="57">
        <f>IFERROR('HISTORICAL FS'!D43,0)</f>
        <v>0.80621707060063108</v>
      </c>
      <c r="D21" s="57">
        <f>IFERROR('HISTORICAL FS'!E43,0)</f>
        <v>0.91490543119902845</v>
      </c>
      <c r="E21" s="57">
        <f>IFERROR('HISTORICAL FS'!F43,0)</f>
        <v>0.91909376567822343</v>
      </c>
      <c r="F21" s="57">
        <f>IFERROR('HISTORICAL FS'!G43,0)</f>
        <v>0.92007095528773419</v>
      </c>
      <c r="G21" s="57">
        <f>IFERROR('HISTORICAL FS'!H43,0)</f>
        <v>0.8578277680140598</v>
      </c>
      <c r="H21" s="57">
        <f>IFERROR('HISTORICAL FS'!I43,0)</f>
        <v>0.83560278385931175</v>
      </c>
      <c r="I21" s="57">
        <f>IFERROR('HISTORICAL FS'!J43,0)</f>
        <v>0.77405386892384509</v>
      </c>
      <c r="J21" s="57">
        <f>IFERROR('HISTORICAL FS'!K43,0)</f>
        <v>0.63918367346938743</v>
      </c>
      <c r="K21" s="57">
        <f>IFERROR('HISTORICAL FS'!L43,0)</f>
        <v>0.52852111616146291</v>
      </c>
      <c r="L21" s="80"/>
      <c r="M21" s="72">
        <f t="shared" si="2"/>
        <v>0.78229770662653464</v>
      </c>
      <c r="N21" s="72">
        <f t="shared" si="3"/>
        <v>0.79949738146596483</v>
      </c>
    </row>
    <row r="22" spans="1:14">
      <c r="A22" s="55" t="s">
        <v>190</v>
      </c>
      <c r="B22" s="57">
        <f>IFERROR('HISTORICAL FS'!C32/ SUM('HISTORICAL FS'!C46,'HISTORICAL FS'!C47),0)</f>
        <v>2.6928427254377749E-2</v>
      </c>
      <c r="C22" s="57">
        <f>IFERROR('HISTORICAL FS'!D32/ SUM('HISTORICAL FS'!D46,'HISTORICAL FS'!D47),0)</f>
        <v>5.8546636807264608E-2</v>
      </c>
      <c r="D22" s="57">
        <f>IFERROR('HISTORICAL FS'!E32/ SUM('HISTORICAL FS'!E46,'HISTORICAL FS'!E47),0)</f>
        <v>0.13008207156206858</v>
      </c>
      <c r="E22" s="57">
        <f>IFERROR('HISTORICAL FS'!F32/ SUM('HISTORICAL FS'!F46,'HISTORICAL FS'!F47),0)</f>
        <v>0.14165379335624972</v>
      </c>
      <c r="F22" s="57">
        <f>IFERROR('HISTORICAL FS'!G32/ SUM('HISTORICAL FS'!G46,'HISTORICAL FS'!G47),0)</f>
        <v>0.1229678578302433</v>
      </c>
      <c r="G22" s="57">
        <f>IFERROR('HISTORICAL FS'!H32/ SUM('HISTORICAL FS'!H46,'HISTORICAL FS'!H47),0)</f>
        <v>0.14151046630310005</v>
      </c>
      <c r="H22" s="57">
        <f>IFERROR('HISTORICAL FS'!I32/ SUM('HISTORICAL FS'!I46,'HISTORICAL FS'!I47),0)</f>
        <v>7.3923341096593306E-2</v>
      </c>
      <c r="I22" s="57">
        <f>IFERROR('HISTORICAL FS'!J32/ SUM('HISTORICAL FS'!J46,'HISTORICAL FS'!J47),0)</f>
        <v>4.9930924632727997E-2</v>
      </c>
      <c r="J22" s="57">
        <f>IFERROR('HISTORICAL FS'!K32/ SUM('HISTORICAL FS'!K46,'HISTORICAL FS'!K47),0)</f>
        <v>5.8715387212667336E-2</v>
      </c>
      <c r="K22" s="57">
        <f>IFERROR('HISTORICAL FS'!L32/ SUM('HISTORICAL FS'!L46,'HISTORICAL FS'!L47),0)</f>
        <v>6.4091137091484188E-2</v>
      </c>
      <c r="L22" s="80"/>
      <c r="M22" s="72">
        <f t="shared" si="2"/>
        <v>8.683500431467768E-2</v>
      </c>
      <c r="N22" s="72">
        <f t="shared" si="3"/>
        <v>9.3491290654711012E-2</v>
      </c>
    </row>
    <row r="23" spans="1:14">
      <c r="A23" s="55" t="s">
        <v>191</v>
      </c>
      <c r="B23" s="57">
        <f>IFERROR(B21*B22,0)</f>
        <v>1.689760514974625E-2</v>
      </c>
      <c r="C23" s="57">
        <f t="shared" ref="C23:K23" si="5">IFERROR(C21*C22,0)</f>
        <v>4.720129802027196E-2</v>
      </c>
      <c r="D23" s="57">
        <f t="shared" si="5"/>
        <v>0.11901279377375723</v>
      </c>
      <c r="E23" s="57">
        <f t="shared" si="5"/>
        <v>0.13019311835840047</v>
      </c>
      <c r="F23" s="57">
        <f t="shared" si="5"/>
        <v>0.11313915442355824</v>
      </c>
      <c r="G23" s="57">
        <f t="shared" si="5"/>
        <v>0.12139160745941713</v>
      </c>
      <c r="H23" s="57">
        <f t="shared" si="5"/>
        <v>6.1770549612494834E-2</v>
      </c>
      <c r="I23" s="57">
        <f t="shared" si="5"/>
        <v>3.8649225390908024E-2</v>
      </c>
      <c r="J23" s="57">
        <f t="shared" si="5"/>
        <v>3.7529916887770201E-2</v>
      </c>
      <c r="K23" s="57">
        <f t="shared" si="5"/>
        <v>3.3873519311648559E-2</v>
      </c>
      <c r="L23" s="80"/>
      <c r="M23" s="72">
        <f t="shared" si="2"/>
        <v>7.1965878838797279E-2</v>
      </c>
      <c r="N23" s="72">
        <f t="shared" si="3"/>
        <v>7.8084575915358501E-2</v>
      </c>
    </row>
    <row r="24" spans="1:14">
      <c r="A24" s="61" t="s">
        <v>192</v>
      </c>
      <c r="B24" s="63">
        <f>IFERROR(('HISTORICAL FS'!C17-'HISTORICAL FS'!C23)/'HISTORICAL FS'!C20,0)</f>
        <v>2.013709361535446</v>
      </c>
      <c r="C24" s="63">
        <f>IFERROR(('HISTORICAL FS'!D17-'HISTORICAL FS'!D23)/'HISTORICAL FS'!D20,0)</f>
        <v>6.3446134740763549</v>
      </c>
      <c r="D24" s="63">
        <f>IFERROR(('HISTORICAL FS'!E17-'HISTORICAL FS'!E23)/'HISTORICAL FS'!E20,0)</f>
        <v>16.281112241437796</v>
      </c>
      <c r="E24" s="63">
        <f>IFERROR(('HISTORICAL FS'!F17-'HISTORICAL FS'!F23)/'HISTORICAL FS'!F20,0)</f>
        <v>32.51586489252815</v>
      </c>
      <c r="F24" s="63">
        <f>IFERROR(('HISTORICAL FS'!G17-'HISTORICAL FS'!G23)/'HISTORICAL FS'!G20,0)</f>
        <v>32.159024956471299</v>
      </c>
      <c r="G24" s="63">
        <f>IFERROR(('HISTORICAL FS'!H17-'HISTORICAL FS'!H23)/'HISTORICAL FS'!H20,0)</f>
        <v>75.542728635682181</v>
      </c>
      <c r="H24" s="63">
        <f>IFERROR(('HISTORICAL FS'!I17-'HISTORICAL FS'!I23)/'HISTORICAL FS'!I20,0)</f>
        <v>55.711422845691352</v>
      </c>
      <c r="I24" s="63">
        <f>IFERROR(('HISTORICAL FS'!J17-'HISTORICAL FS'!J23)/'HISTORICAL FS'!J20,0)</f>
        <v>46.720422004521531</v>
      </c>
      <c r="J24" s="63">
        <f>IFERROR(('HISTORICAL FS'!K17-'HISTORICAL FS'!K23)/'HISTORICAL FS'!K20,0)</f>
        <v>21.754920787325961</v>
      </c>
      <c r="K24" s="63">
        <f>IFERROR(('HISTORICAL FS'!L17-'HISTORICAL FS'!L23)/'HISTORICAL FS'!L20,0)</f>
        <v>31.557764826876866</v>
      </c>
      <c r="L24" s="80"/>
      <c r="M24" s="72">
        <f t="shared" si="2"/>
        <v>32.06015840261469</v>
      </c>
      <c r="N24" s="72">
        <f t="shared" si="3"/>
        <v>35.398652740512382</v>
      </c>
    </row>
    <row r="25" spans="1:14"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80"/>
      <c r="M25" s="72"/>
      <c r="N25" s="72"/>
    </row>
    <row r="26" spans="1:14">
      <c r="A26" s="80" t="s">
        <v>218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80"/>
      <c r="M26" s="72"/>
      <c r="N26" s="72"/>
    </row>
    <row r="27" spans="1:14">
      <c r="A27" s="64" t="s">
        <v>193</v>
      </c>
      <c r="B27" s="65">
        <f>IFERROR('HISTORICAL FS'!C5/'HISTORICAL FS'!C58,0)</f>
        <v>9.1527055497773144</v>
      </c>
      <c r="C27" s="65">
        <f>IFERROR('HISTORICAL FS'!D5/'HISTORICAL FS'!D58,0)</f>
        <v>9.0816737868331696</v>
      </c>
      <c r="D27" s="65">
        <f>IFERROR('HISTORICAL FS'!E5/'HISTORICAL FS'!E58,0)</f>
        <v>8.5461824324324329</v>
      </c>
      <c r="E27" s="65">
        <f>IFERROR('HISTORICAL FS'!F5/'HISTORICAL FS'!F58,0)</f>
        <v>6.725761237312712</v>
      </c>
      <c r="F27" s="65">
        <f>IFERROR('HISTORICAL FS'!G5/'HISTORICAL FS'!G58,0)</f>
        <v>7.9387997704478996</v>
      </c>
      <c r="G27" s="65">
        <f>IFERROR('HISTORICAL FS'!H5/'HISTORICAL FS'!H58,0)</f>
        <v>10.667021503087076</v>
      </c>
      <c r="H27" s="65">
        <f>IFERROR('HISTORICAL FS'!I5/'HISTORICAL FS'!I58,0)</f>
        <v>9.1880724685221153</v>
      </c>
      <c r="I27" s="65">
        <f>IFERROR('HISTORICAL FS'!J5/'HISTORICAL FS'!J58,0)</f>
        <v>7.1450769295977619</v>
      </c>
      <c r="J27" s="65">
        <f>IFERROR('HISTORICAL FS'!K5/'HISTORICAL FS'!K58,0)</f>
        <v>6.8656918153104884</v>
      </c>
      <c r="K27" s="65">
        <f>IFERROR('HISTORICAL FS'!L5/'HISTORICAL FS'!L58,0)</f>
        <v>7.6915245074483423</v>
      </c>
      <c r="L27" s="80"/>
      <c r="M27" s="72">
        <f t="shared" si="2"/>
        <v>8.3002510000769316</v>
      </c>
      <c r="N27" s="72">
        <f t="shared" si="3"/>
        <v>8.205533827887999</v>
      </c>
    </row>
    <row r="28" spans="1:14">
      <c r="A28" s="55" t="s">
        <v>194</v>
      </c>
      <c r="B28" s="66">
        <f>IFERROR('HISTORICAL FS'!C5/'HISTORICAL FS'!C49,0)</f>
        <v>3.0275675294200672</v>
      </c>
      <c r="C28" s="66">
        <f>IFERROR('HISTORICAL FS'!D5/'HISTORICAL FS'!D49,0)</f>
        <v>3.1574806148408818</v>
      </c>
      <c r="D28" s="66">
        <f>IFERROR('HISTORICAL FS'!E5/'HISTORICAL FS'!E49,0)</f>
        <v>2.9650940631776361</v>
      </c>
      <c r="E28" s="66">
        <f>IFERROR('HISTORICAL FS'!F5/'HISTORICAL FS'!F49,0)</f>
        <v>3.5731518042590102</v>
      </c>
      <c r="F28" s="66">
        <f>IFERROR('HISTORICAL FS'!G5/'HISTORICAL FS'!G49,0)</f>
        <v>3.1424746739935854</v>
      </c>
      <c r="G28" s="66">
        <f>IFERROR('HISTORICAL FS'!H5/'HISTORICAL FS'!H49,0)</f>
        <v>3.9155423321034033</v>
      </c>
      <c r="H28" s="66">
        <f>IFERROR('HISTORICAL FS'!I5/'HISTORICAL FS'!I49,0)</f>
        <v>5.0021979682530953</v>
      </c>
      <c r="I28" s="66">
        <f>IFERROR('HISTORICAL FS'!J5/'HISTORICAL FS'!J49,0)</f>
        <v>4.5787941178068357</v>
      </c>
      <c r="J28" s="66">
        <f>IFERROR('HISTORICAL FS'!K5/'HISTORICAL FS'!K49,0)</f>
        <v>3.8244629182449805</v>
      </c>
      <c r="K28" s="66">
        <f>IFERROR('HISTORICAL FS'!L5/'HISTORICAL FS'!L49,0)</f>
        <v>3.9058378547380377</v>
      </c>
      <c r="L28" s="80"/>
      <c r="M28" s="72">
        <f t="shared" si="2"/>
        <v>3.7092603876837535</v>
      </c>
      <c r="N28" s="72">
        <f t="shared" si="3"/>
        <v>3.785004038601941</v>
      </c>
    </row>
    <row r="29" spans="1:14">
      <c r="A29" s="55" t="s">
        <v>195</v>
      </c>
      <c r="B29" s="66">
        <f>IFERROR('HISTORICAL FS'!C5/'HISTORICAL FS'!C59,0)</f>
        <v>7.5137709081355633</v>
      </c>
      <c r="C29" s="66">
        <f>IFERROR('HISTORICAL FS'!D5/'HISTORICAL FS'!D59,0)</f>
        <v>9.2057073062402832</v>
      </c>
      <c r="D29" s="66">
        <f>IFERROR('HISTORICAL FS'!E5/'HISTORICAL FS'!E59,0)</f>
        <v>8.9430293602955473</v>
      </c>
      <c r="E29" s="66">
        <f>IFERROR('HISTORICAL FS'!F5/'HISTORICAL FS'!F59,0)</f>
        <v>7.3033285904224305</v>
      </c>
      <c r="F29" s="66">
        <f>IFERROR('HISTORICAL FS'!G5/'HISTORICAL FS'!G59,0)</f>
        <v>6.5772618185111398</v>
      </c>
      <c r="G29" s="66">
        <f>IFERROR('HISTORICAL FS'!H5/'HISTORICAL FS'!H59,0)</f>
        <v>9.7672106494374518</v>
      </c>
      <c r="H29" s="66">
        <f>IFERROR('HISTORICAL FS'!I5/'HISTORICAL FS'!I59,0)</f>
        <v>8.6026389151389147</v>
      </c>
      <c r="I29" s="66">
        <f>IFERROR('HISTORICAL FS'!J5/'HISTORICAL FS'!J59,0)</f>
        <v>6.9219253005715791</v>
      </c>
      <c r="J29" s="66">
        <f>IFERROR('HISTORICAL FS'!K5/'HISTORICAL FS'!K59,0)</f>
        <v>5.7125151501025542</v>
      </c>
      <c r="K29" s="66">
        <f>IFERROR('HISTORICAL FS'!L5/'HISTORICAL FS'!L59,0)</f>
        <v>7.3223396879177116</v>
      </c>
      <c r="L29" s="80"/>
      <c r="M29" s="72">
        <f t="shared" si="2"/>
        <v>7.7869727686773187</v>
      </c>
      <c r="N29" s="72">
        <f t="shared" si="3"/>
        <v>7.8173285309597356</v>
      </c>
    </row>
    <row r="30" spans="1:14">
      <c r="A30" s="55" t="s">
        <v>196</v>
      </c>
      <c r="B30" s="66">
        <f>IFERROR('HISTORICAL FS'!C5/'HISTORICAL FS'!C52,0)</f>
        <v>2.2299840158022635</v>
      </c>
      <c r="C30" s="66">
        <f>IFERROR('HISTORICAL FS'!D5/'HISTORICAL FS'!D52,0)</f>
        <v>2.6217349507317502</v>
      </c>
      <c r="D30" s="66">
        <f>IFERROR('HISTORICAL FS'!E5/'HISTORICAL FS'!E52,0)</f>
        <v>3.1863836755258852</v>
      </c>
      <c r="E30" s="66">
        <f>IFERROR('HISTORICAL FS'!F5/'HISTORICAL FS'!F52,0)</f>
        <v>3.8015456250796795</v>
      </c>
      <c r="F30" s="66">
        <f>IFERROR('HISTORICAL FS'!G5/'HISTORICAL FS'!G52,0)</f>
        <v>3.4128617665544727</v>
      </c>
      <c r="G30" s="66">
        <f>IFERROR('HISTORICAL FS'!H5/'HISTORICAL FS'!H52,0)</f>
        <v>3.9050789709558353</v>
      </c>
      <c r="H30" s="66">
        <f>IFERROR('HISTORICAL FS'!I5/'HISTORICAL FS'!I52,0)</f>
        <v>3.9557046250780803</v>
      </c>
      <c r="I30" s="66">
        <f>IFERROR('HISTORICAL FS'!J5/'HISTORICAL FS'!J52,0)</f>
        <v>4.4569124606720782</v>
      </c>
      <c r="J30" s="66">
        <f>IFERROR('HISTORICAL FS'!K5/'HISTORICAL FS'!K52,0)</f>
        <v>4.5276315303332595</v>
      </c>
      <c r="K30" s="66">
        <f>IFERROR('HISTORICAL FS'!L5/'HISTORICAL FS'!L52,0)</f>
        <v>4.989275173146047</v>
      </c>
      <c r="L30" s="80"/>
      <c r="M30" s="72">
        <f t="shared" si="2"/>
        <v>3.7087112793879351</v>
      </c>
      <c r="N30" s="72">
        <f t="shared" si="3"/>
        <v>3.8730143086752324</v>
      </c>
    </row>
    <row r="31" spans="1:14">
      <c r="A31" s="67" t="s">
        <v>197</v>
      </c>
      <c r="B31" s="68">
        <f>IFERROR('HISTORICAL FS'!C5/SUM('HISTORICAL FS'!C46,'HISTORICAL FS'!C47),0)</f>
        <v>2.3402910370410779</v>
      </c>
      <c r="C31" s="68">
        <f>IFERROR('HISTORICAL FS'!D5/SUM('HISTORICAL FS'!D46,'HISTORICAL FS'!D47),0)</f>
        <v>2.5573775548604814</v>
      </c>
      <c r="D31" s="68">
        <f>IFERROR('HISTORICAL FS'!E5/SUM('HISTORICAL FS'!E46,'HISTORICAL FS'!E47),0)</f>
        <v>2.2839820507958866</v>
      </c>
      <c r="E31" s="68">
        <f>IFERROR('HISTORICAL FS'!F5/SUM('HISTORICAL FS'!F46,'HISTORICAL FS'!F47),0)</f>
        <v>2.3422642313979107</v>
      </c>
      <c r="F31" s="68">
        <f>IFERROR('HISTORICAL FS'!G5/SUM('HISTORICAL FS'!G46,'HISTORICAL FS'!G47),0)</f>
        <v>1.8637614678899082</v>
      </c>
      <c r="G31" s="68">
        <f>IFERROR('HISTORICAL FS'!H5/SUM('HISTORICAL FS'!H46,'HISTORICAL FS'!H47),0)</f>
        <v>1.395590643298124</v>
      </c>
      <c r="H31" s="68">
        <f>IFERROR('HISTORICAL FS'!I5/SUM('HISTORICAL FS'!I46,'HISTORICAL FS'!I47),0)</f>
        <v>0.95825602968460111</v>
      </c>
      <c r="I31" s="68">
        <f>IFERROR('HISTORICAL FS'!J5/SUM('HISTORICAL FS'!J46,'HISTORICAL FS'!J47),0)</f>
        <v>1.0295576611361585</v>
      </c>
      <c r="J31" s="68">
        <f>IFERROR('HISTORICAL FS'!K5/SUM('HISTORICAL FS'!K46,'HISTORICAL FS'!K47),0)</f>
        <v>1.0442114882979301</v>
      </c>
      <c r="K31" s="68">
        <f>IFERROR('HISTORICAL FS'!L5/SUM('HISTORICAL FS'!L46,'HISTORICAL FS'!L47),0)</f>
        <v>0.98814291777597718</v>
      </c>
      <c r="L31" s="83"/>
      <c r="M31" s="85">
        <f t="shared" si="2"/>
        <v>1.6803435082178058</v>
      </c>
      <c r="N31" s="85">
        <f t="shared" si="3"/>
        <v>1.60701600501522</v>
      </c>
    </row>
    <row r="32" spans="1:14">
      <c r="L32" s="80"/>
      <c r="M32" s="72"/>
      <c r="N32" s="72"/>
    </row>
    <row r="33" spans="1:15">
      <c r="A33" s="64" t="s">
        <v>198</v>
      </c>
      <c r="B33" s="69">
        <f>IFERROR(365/B27,0)</f>
        <v>39.878918644867852</v>
      </c>
      <c r="C33" s="69">
        <f t="shared" ref="C33:K33" si="6">IFERROR(365/C27,0)</f>
        <v>40.190829198157921</v>
      </c>
      <c r="D33" s="69">
        <f t="shared" si="6"/>
        <v>42.709128068087928</v>
      </c>
      <c r="E33" s="69">
        <f t="shared" si="6"/>
        <v>54.268949955445684</v>
      </c>
      <c r="F33" s="69">
        <f t="shared" si="6"/>
        <v>45.976723252135507</v>
      </c>
      <c r="G33" s="69">
        <f t="shared" si="6"/>
        <v>34.217611719857096</v>
      </c>
      <c r="H33" s="69">
        <f t="shared" si="6"/>
        <v>39.725415885700954</v>
      </c>
      <c r="I33" s="69">
        <f t="shared" si="6"/>
        <v>51.084124579264397</v>
      </c>
      <c r="J33" s="69">
        <f t="shared" si="6"/>
        <v>53.162887268847435</v>
      </c>
      <c r="K33" s="69">
        <f t="shared" si="6"/>
        <v>47.454831567726288</v>
      </c>
      <c r="L33" s="80"/>
      <c r="M33" s="72">
        <f t="shared" si="2"/>
        <v>44.866942014009105</v>
      </c>
      <c r="N33" s="72">
        <f t="shared" si="3"/>
        <v>45.421166832802584</v>
      </c>
    </row>
    <row r="34" spans="1:15">
      <c r="A34" s="55" t="s">
        <v>199</v>
      </c>
      <c r="B34" s="70">
        <f>IFERROR(365/B28,0)</f>
        <v>120.55883029962209</v>
      </c>
      <c r="C34" s="70">
        <f t="shared" ref="C34:K34" si="7">IFERROR(365/C28,0)</f>
        <v>115.59849276173429</v>
      </c>
      <c r="D34" s="70">
        <f t="shared" si="7"/>
        <v>123.09896152462574</v>
      </c>
      <c r="E34" s="70">
        <f t="shared" si="7"/>
        <v>102.15071175116016</v>
      </c>
      <c r="F34" s="70">
        <f t="shared" si="7"/>
        <v>116.15049852928267</v>
      </c>
      <c r="G34" s="70">
        <f t="shared" si="7"/>
        <v>93.218248978532799</v>
      </c>
      <c r="H34" s="70">
        <f t="shared" si="7"/>
        <v>72.967923764014486</v>
      </c>
      <c r="I34" s="70">
        <f t="shared" si="7"/>
        <v>79.715311632056697</v>
      </c>
      <c r="J34" s="70">
        <f t="shared" si="7"/>
        <v>95.438237421189584</v>
      </c>
      <c r="K34" s="70">
        <f t="shared" si="7"/>
        <v>93.449859818740563</v>
      </c>
      <c r="L34" s="80"/>
      <c r="M34" s="75">
        <f t="shared" si="2"/>
        <v>101.23470764809591</v>
      </c>
      <c r="N34" s="72">
        <f t="shared" si="3"/>
        <v>99.087582909037437</v>
      </c>
    </row>
    <row r="35" spans="1:15">
      <c r="A35" s="55" t="s">
        <v>200</v>
      </c>
      <c r="B35" s="70">
        <f>IFERROR(365/B29,0)</f>
        <v>48.577472545083175</v>
      </c>
      <c r="C35" s="70">
        <f t="shared" ref="C35:K35" si="8">IFERROR(365/C29,0)</f>
        <v>39.649316218491656</v>
      </c>
      <c r="D35" s="70">
        <f t="shared" si="8"/>
        <v>40.813910510066528</v>
      </c>
      <c r="E35" s="70">
        <f t="shared" si="8"/>
        <v>49.977211826215822</v>
      </c>
      <c r="F35" s="70">
        <f t="shared" si="8"/>
        <v>55.494217817624161</v>
      </c>
      <c r="G35" s="70">
        <f t="shared" si="8"/>
        <v>37.369932225330103</v>
      </c>
      <c r="H35" s="70">
        <f t="shared" si="8"/>
        <v>42.428841149856169</v>
      </c>
      <c r="I35" s="70">
        <f t="shared" si="8"/>
        <v>52.730993784324724</v>
      </c>
      <c r="J35" s="70">
        <f t="shared" si="8"/>
        <v>63.894797722058961</v>
      </c>
      <c r="K35" s="70">
        <f t="shared" si="8"/>
        <v>49.847455261092477</v>
      </c>
      <c r="L35" s="80"/>
      <c r="M35" s="72">
        <f t="shared" si="2"/>
        <v>48.07841490601438</v>
      </c>
      <c r="N35" s="72">
        <f t="shared" si="3"/>
        <v>48.022964057228954</v>
      </c>
    </row>
    <row r="36" spans="1:15">
      <c r="A36" s="67" t="s">
        <v>201</v>
      </c>
      <c r="B36" s="71">
        <f>IFERROR(B33+B35-B34,0)</f>
        <v>-32.102439109671053</v>
      </c>
      <c r="C36" s="71">
        <f t="shared" ref="C36:K36" si="9">IFERROR(C33+C35-C34,0)</f>
        <v>-35.758347345084715</v>
      </c>
      <c r="D36" s="71">
        <f t="shared" si="9"/>
        <v>-39.57592294647128</v>
      </c>
      <c r="E36" s="71">
        <f t="shared" si="9"/>
        <v>2.0954500305013397</v>
      </c>
      <c r="F36" s="71">
        <f t="shared" si="9"/>
        <v>-14.679557459522997</v>
      </c>
      <c r="G36" s="71">
        <f t="shared" si="9"/>
        <v>-21.630705033345592</v>
      </c>
      <c r="H36" s="71">
        <f t="shared" si="9"/>
        <v>9.1863332715426367</v>
      </c>
      <c r="I36" s="71">
        <f t="shared" si="9"/>
        <v>24.099806731532425</v>
      </c>
      <c r="J36" s="71">
        <f t="shared" si="9"/>
        <v>21.619447569716812</v>
      </c>
      <c r="K36" s="71">
        <f t="shared" si="9"/>
        <v>3.8524270100782019</v>
      </c>
      <c r="L36" s="80"/>
      <c r="M36" s="72">
        <f t="shared" si="2"/>
        <v>-8.2893507280724243</v>
      </c>
      <c r="N36" s="72">
        <f t="shared" si="3"/>
        <v>-5.6434520190059079</v>
      </c>
    </row>
    <row r="37" spans="1:15">
      <c r="L37" s="80"/>
      <c r="M37" s="72"/>
      <c r="N37" s="72"/>
    </row>
    <row r="38" spans="1:15">
      <c r="A38" s="64" t="s">
        <v>203</v>
      </c>
      <c r="B38" s="72">
        <f>IFERROR('HISTORICAL FS'!C76/'HISTORICAL FS'!C5,0)</f>
        <v>7.2844035093342349E-2</v>
      </c>
      <c r="C38" s="72">
        <f>IFERROR('HISTORICAL FS'!D76/'HISTORICAL FS'!D5,0)</f>
        <v>9.2875597358955744E-2</v>
      </c>
      <c r="D38" s="72">
        <f>IFERROR('HISTORICAL FS'!E76/'HISTORICAL FS'!E5,0)</f>
        <v>0.11266291650689615</v>
      </c>
      <c r="E38" s="72">
        <f>IFERROR('HISTORICAL FS'!F76/'HISTORICAL FS'!F5,0)</f>
        <v>-0.12392167383687691</v>
      </c>
      <c r="F38" s="72">
        <f>IFERROR('HISTORICAL FS'!G76/'HISTORICAL FS'!G5,0)</f>
        <v>0.22960057417354982</v>
      </c>
      <c r="G38" s="72">
        <f>IFERROR('HISTORICAL FS'!H76/'HISTORICAL FS'!H5,0)</f>
        <v>0.23280613365039446</v>
      </c>
      <c r="H38" s="72">
        <f>IFERROR('HISTORICAL FS'!I76/'HISTORICAL FS'!I5,0)</f>
        <v>-4.7647490954528915E-2</v>
      </c>
      <c r="I38" s="72">
        <f>IFERROR('HISTORICAL FS'!J76/'HISTORICAL FS'!J5,0)</f>
        <v>3.6779143615437273E-3</v>
      </c>
      <c r="J38" s="72">
        <f>IFERROR('HISTORICAL FS'!K76/'HISTORICAL FS'!K5,0)</f>
        <v>7.1402414829669539E-2</v>
      </c>
      <c r="K38" s="72">
        <f>IFERROR('HISTORICAL FS'!L76/'HISTORICAL FS'!L5,0)</f>
        <v>0.1675146526511439</v>
      </c>
      <c r="L38" s="80"/>
      <c r="M38" s="72">
        <f t="shared" si="2"/>
        <v>8.1181507383408985E-2</v>
      </c>
      <c r="N38" s="72">
        <f t="shared" si="3"/>
        <v>8.2107893193416395E-2</v>
      </c>
    </row>
    <row r="39" spans="1:15">
      <c r="A39" s="55" t="s">
        <v>204</v>
      </c>
      <c r="B39" s="57">
        <f>IFERROR('HISTORICAL FS'!C76/'HISTORICAL FS'!C63,0)</f>
        <v>8.4226697841775083E-2</v>
      </c>
      <c r="C39" s="57">
        <f>IFERROR('HISTORICAL FS'!D76/'HISTORICAL FS'!D63,0)</f>
        <v>0.12034183332187222</v>
      </c>
      <c r="D39" s="57">
        <f>IFERROR('HISTORICAL FS'!E76/'HISTORICAL FS'!E63,0)</f>
        <v>0.14348538588758297</v>
      </c>
      <c r="E39" s="57">
        <f>IFERROR('HISTORICAL FS'!F76/'HISTORICAL FS'!F63,0)</f>
        <v>-0.16486189629421902</v>
      </c>
      <c r="F39" s="57">
        <f>IFERROR('HISTORICAL FS'!G76/'HISTORICAL FS'!G63,0)</f>
        <v>0.26605716838586663</v>
      </c>
      <c r="G39" s="57">
        <f>IFERROR('HISTORICAL FS'!H76/'HISTORICAL FS'!H63,0)</f>
        <v>0.2374178015373275</v>
      </c>
      <c r="H39" s="57">
        <f>IFERROR('HISTORICAL FS'!I76/'HISTORICAL FS'!I63,0)</f>
        <v>-3.8099462654840821E-2</v>
      </c>
      <c r="I39" s="57">
        <f>IFERROR('HISTORICAL FS'!J76/'HISTORICAL FS'!J63,0)</f>
        <v>3.0739269515965579E-3</v>
      </c>
      <c r="J39" s="57">
        <f>IFERROR('HISTORICAL FS'!K76/'HISTORICAL FS'!K63,0)</f>
        <v>5.644997403301194E-2</v>
      </c>
      <c r="K39" s="57">
        <f>IFERROR('HISTORICAL FS'!L76/'HISTORICAL FS'!L63,0)</f>
        <v>0.13104548484920225</v>
      </c>
      <c r="L39" s="80"/>
      <c r="M39" s="72">
        <f t="shared" si="2"/>
        <v>8.3913691385917533E-2</v>
      </c>
      <c r="N39" s="72">
        <f t="shared" si="3"/>
        <v>8.3878912890822235E-2</v>
      </c>
    </row>
    <row r="40" spans="1:15">
      <c r="A40" s="67" t="s">
        <v>205</v>
      </c>
      <c r="B40" s="74">
        <f>IFERROR('HISTORICAL FS'!C76/'HISTORICAL FS'!C48,0)</f>
        <v>0.67912637183527114</v>
      </c>
      <c r="C40" s="74">
        <f>IFERROR('HISTORICAL FS'!D76/'HISTORICAL FS'!D48,0)</f>
        <v>1.4504765851636967</v>
      </c>
      <c r="D40" s="74">
        <f>IFERROR('HISTORICAL FS'!E76/'HISTORICAL FS'!E48,0)</f>
        <v>11.15678214914856</v>
      </c>
      <c r="E40" s="74">
        <f>IFERROR('HISTORICAL FS'!F76/'HISTORICAL FS'!F48,0)</f>
        <v>-2.761958997722096</v>
      </c>
      <c r="F40" s="74">
        <f>IFERROR('HISTORICAL FS'!G76/'HISTORICAL FS'!G48,0)</f>
        <v>27.984057058946927</v>
      </c>
      <c r="G40" s="74">
        <f>IFERROR('HISTORICAL FS'!H76/'HISTORICAL FS'!H48,0)</f>
        <v>26.942748721333114</v>
      </c>
      <c r="H40" s="74">
        <f>IFERROR('HISTORICAL FS'!I76/'HISTORICAL FS'!I48,0)</f>
        <v>-6.6794995187680462</v>
      </c>
      <c r="I40" s="74">
        <f>IFERROR('HISTORICAL FS'!J76/'HISTORICAL FS'!J48,0)</f>
        <v>0.54101221640488661</v>
      </c>
      <c r="J40" s="74">
        <f>IFERROR('HISTORICAL FS'!K76/'HISTORICAL FS'!K48,0)</f>
        <v>1.5608972929581235</v>
      </c>
      <c r="K40" s="74">
        <f>IFERROR('HISTORICAL FS'!L76/'HISTORICAL FS'!L48,0)</f>
        <v>16.314888762122074</v>
      </c>
      <c r="L40" s="80"/>
      <c r="M40" s="72">
        <f t="shared" si="2"/>
        <v>7.7188530641422517</v>
      </c>
      <c r="N40" s="72">
        <f t="shared" si="3"/>
        <v>8.5010449188430268</v>
      </c>
    </row>
    <row r="41" spans="1:15">
      <c r="L41" s="80"/>
      <c r="M41" s="72"/>
      <c r="N41" s="72"/>
    </row>
    <row r="42" spans="1:15">
      <c r="A42" s="80" t="s">
        <v>209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80"/>
      <c r="M42" s="72"/>
      <c r="N42" s="72"/>
    </row>
    <row r="43" spans="1:15">
      <c r="A43" s="55" t="s">
        <v>210</v>
      </c>
      <c r="B43" s="57">
        <f>IFERROR('HISTORICAL FS'!C32/'HISTORICAL FS'!C63,0)</f>
        <v>1.3304449191086752E-2</v>
      </c>
      <c r="C43" s="57">
        <f>IFERROR('HISTORICAL FS'!D32/'HISTORICAL FS'!D63,0)</f>
        <v>2.96634804733652E-2</v>
      </c>
      <c r="D43" s="57">
        <f>IFERROR('HISTORICAL FS'!E32/'HISTORICAL FS'!E63,0)</f>
        <v>7.2535638497380914E-2</v>
      </c>
      <c r="E43" s="57">
        <f>IFERROR('HISTORICAL FS'!F32/'HISTORICAL FS'!F63,0)</f>
        <v>8.0457279311319185E-2</v>
      </c>
      <c r="F43" s="57">
        <f>IFERROR('HISTORICAL FS'!G32/'HISTORICAL FS'!G63,0)</f>
        <v>7.6454538927315019E-2</v>
      </c>
      <c r="G43" s="57">
        <f>IFERROR('HISTORICAL FS'!H32/'HISTORICAL FS'!H63,0)</f>
        <v>0.10340686548893095</v>
      </c>
      <c r="H43" s="57">
        <f>IFERROR('HISTORICAL FS'!I32/'HISTORICAL FS'!I63,0)</f>
        <v>6.1684896582467154E-2</v>
      </c>
      <c r="I43" s="57">
        <f>IFERROR('HISTORICAL FS'!J32/'HISTORICAL FS'!J63,0)</f>
        <v>4.0533197419487965E-2</v>
      </c>
      <c r="J43" s="57">
        <f>IFERROR('HISTORICAL FS'!K32/'HISTORICAL FS'!K63,0)</f>
        <v>4.4454354550996861E-2</v>
      </c>
      <c r="K43" s="57">
        <f>IFERROR('HISTORICAL FS'!L32/'HISTORICAL FS'!L63,0)</f>
        <v>5.0739650957754505E-2</v>
      </c>
      <c r="L43" s="80"/>
      <c r="M43" s="72">
        <f t="shared" si="2"/>
        <v>5.7323435140010447E-2</v>
      </c>
      <c r="N43" s="72">
        <f t="shared" si="3"/>
        <v>6.2214433578779746E-2</v>
      </c>
    </row>
    <row r="44" spans="1:15">
      <c r="A44" s="55" t="s">
        <v>211</v>
      </c>
      <c r="B44" s="57">
        <f>IFERROR(('HISTORICAL FS'!C17-'HISTORICAL FS'!C23)/'HISTORICAL FS'!C63,0)</f>
        <v>3.4640756288365215E-2</v>
      </c>
      <c r="C44" s="57">
        <f>IFERROR(('HISTORICAL FS'!D17-'HISTORICAL FS'!D23)/'HISTORICAL FS'!D63,0)</f>
        <v>6.3878070279630467E-2</v>
      </c>
      <c r="D44" s="57">
        <f>IFERROR(('HISTORICAL FS'!E17-'HISTORICAL FS'!E23)/'HISTORICAL FS'!E63,0)</f>
        <v>0.12086252337930753</v>
      </c>
      <c r="E44" s="57">
        <f>IFERROR(('HISTORICAL FS'!F17-'HISTORICAL FS'!F23)/'HISTORICAL FS'!F63,0)</f>
        <v>0.13498280209986468</v>
      </c>
      <c r="F44" s="57">
        <f>IFERROR(('HISTORICAL FS'!G17-'HISTORICAL FS'!G23)/'HISTORICAL FS'!G63,0)</f>
        <v>0.11051145202594365</v>
      </c>
      <c r="G44" s="57">
        <f>IFERROR(('HISTORICAL FS'!H17-'HISTORICAL FS'!H23)/'HISTORICAL FS'!H63,0)</f>
        <v>0.14651280791256979</v>
      </c>
      <c r="H44" s="57">
        <f>IFERROR(('HISTORICAL FS'!I17-'HISTORICAL FS'!I23)/'HISTORICAL FS'!I63,0)</f>
        <v>9.1570466438435819E-2</v>
      </c>
      <c r="I44" s="57">
        <f>IFERROR(('HISTORICAL FS'!J17-'HISTORICAL FS'!J23)/'HISTORICAL FS'!J63,0)</f>
        <v>6.1476555853252783E-2</v>
      </c>
      <c r="J44" s="57">
        <f>IFERROR(('HISTORICAL FS'!K17-'HISTORICAL FS'!K23)/'HISTORICAL FS'!K63,0)</f>
        <v>7.3087394236941466E-2</v>
      </c>
      <c r="K44" s="57">
        <f>IFERROR(('HISTORICAL FS'!L17-'HISTORICAL FS'!L23)/'HISTORICAL FS'!L63,0)</f>
        <v>7.0298724139326585E-2</v>
      </c>
      <c r="L44" s="80"/>
      <c r="M44" s="72">
        <f t="shared" si="2"/>
        <v>9.078215526536379E-2</v>
      </c>
      <c r="N44" s="72">
        <f t="shared" si="3"/>
        <v>9.7020088485030298E-2</v>
      </c>
    </row>
    <row r="45" spans="1:15">
      <c r="A45" s="67" t="s">
        <v>212</v>
      </c>
      <c r="B45" s="73">
        <f>IFERROR((('HISTORICAL FS'!C17-'HISTORICAL FS'!C23)-('HISTORICAL FS'!C20-('HISTORICAL FS'!C20*'HISTORICAL FS'!C30)))/'HISTORICAL FS'!C63,0)</f>
        <v>2.1516235892366547E-2</v>
      </c>
      <c r="C45" s="73">
        <f>IFERROR((('HISTORICAL FS'!D17-'HISTORICAL FS'!D23)-('HISTORICAL FS'!D20-('HISTORICAL FS'!D20*'HISTORICAL FS'!D30)))/'HISTORICAL FS'!D63,0)</f>
        <v>5.8327906433873304E-2</v>
      </c>
      <c r="D45" s="73">
        <f>IFERROR((('HISTORICAL FS'!E17-'HISTORICAL FS'!E23)-('HISTORICAL FS'!E20-('HISTORICAL FS'!E20*'HISTORICAL FS'!E30)))/'HISTORICAL FS'!E63,0)</f>
        <v>0.11611577213821095</v>
      </c>
      <c r="E45" s="73">
        <f>IFERROR((('HISTORICAL FS'!F17-'HISTORICAL FS'!F23)-('HISTORICAL FS'!F20-('HISTORICAL FS'!F20*'HISTORICAL FS'!F30)))/'HISTORICAL FS'!F63,0)</f>
        <v>0.13242988852488632</v>
      </c>
      <c r="F45" s="73">
        <f>IFERROR((('HISTORICAL FS'!G17-'HISTORICAL FS'!G23)-('HISTORICAL FS'!G20-('HISTORICAL FS'!G20*'HISTORICAL FS'!G30)))/'HISTORICAL FS'!G63,0)</f>
        <v>0.10805776359910356</v>
      </c>
      <c r="G45" s="73">
        <f>IFERROR((('HISTORICAL FS'!H17-'HISTORICAL FS'!H23)-('HISTORICAL FS'!H20-('HISTORICAL FS'!H20*'HISTORICAL FS'!H30)))/'HISTORICAL FS'!H63,0)</f>
        <v>0.14512559191737437</v>
      </c>
      <c r="H45" s="73">
        <f>IFERROR((('HISTORICAL FS'!I17-'HISTORICAL FS'!I23)-('HISTORICAL FS'!I20-('HISTORICAL FS'!I20*'HISTORICAL FS'!I30)))/'HISTORICAL FS'!I63,0)</f>
        <v>9.0443007246660753E-2</v>
      </c>
      <c r="I45" s="73">
        <f>IFERROR((('HISTORICAL FS'!J17-'HISTORICAL FS'!J23)-('HISTORICAL FS'!J20-('HISTORICAL FS'!J20*'HISTORICAL FS'!J30)))/'HISTORICAL FS'!J63,0)</f>
        <v>6.0590011161791288E-2</v>
      </c>
      <c r="J45" s="73">
        <f>IFERROR((('HISTORICAL FS'!K17-'HISTORICAL FS'!K23)-('HISTORICAL FS'!K20-('HISTORICAL FS'!K20*'HISTORICAL FS'!K30)))/'HISTORICAL FS'!K63,0)</f>
        <v>7.0945523641215411E-2</v>
      </c>
      <c r="K45" s="73">
        <f>IFERROR((('HISTORICAL FS'!L17-'HISTORICAL FS'!L23)-('HISTORICAL FS'!L20-('HISTORICAL FS'!L20*'HISTORICAL FS'!L30)))/'HISTORICAL FS'!L63,0)</f>
        <v>6.8638273800592162E-2</v>
      </c>
      <c r="L45" s="80"/>
      <c r="M45" s="72">
        <f t="shared" si="2"/>
        <v>8.7218997435607473E-2</v>
      </c>
      <c r="N45" s="72">
        <f t="shared" si="3"/>
        <v>9.4519304273745358E-2</v>
      </c>
    </row>
    <row r="46" spans="1:15">
      <c r="L46" s="80"/>
      <c r="M46" s="72"/>
      <c r="N46" s="72"/>
    </row>
    <row r="47" spans="1:15">
      <c r="A47" s="80" t="s">
        <v>213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80"/>
      <c r="M47" s="72"/>
      <c r="N47" s="72"/>
      <c r="O47" s="64"/>
    </row>
    <row r="48" spans="1:15">
      <c r="A48" s="55" t="s">
        <v>57</v>
      </c>
      <c r="B48" s="76">
        <f>IFERROR('HISTORICAL FS'!C37,0)</f>
        <v>3.2210440456769889</v>
      </c>
      <c r="C48" s="76">
        <f>IFERROR('HISTORICAL FS'!D37,0)</f>
        <v>7.7406199021206694</v>
      </c>
      <c r="D48" s="76">
        <f>IFERROR('HISTORICAL FS'!E37,0)</f>
        <v>23.503262642740669</v>
      </c>
      <c r="E48" s="76">
        <f>IFERROR('HISTORICAL FS'!F37,0)</f>
        <v>30.889885807504083</v>
      </c>
      <c r="F48" s="76">
        <f>IFERROR('HISTORICAL FS'!G37,0)</f>
        <v>31.267536704730873</v>
      </c>
      <c r="G48" s="76">
        <f>IFERROR('HISTORICAL FS'!H37,0)</f>
        <v>52.763353115727021</v>
      </c>
      <c r="H48" s="76">
        <f>IFERROR('HISTORICAL FS'!I37,0)</f>
        <v>42.593631539044694</v>
      </c>
      <c r="I48" s="76">
        <f>IFERROR('HISTORICAL FS'!J37,0)</f>
        <v>30.990902198635379</v>
      </c>
      <c r="J48" s="76">
        <f>IFERROR('HISTORICAL FS'!K37,0)</f>
        <v>49.886877828054246</v>
      </c>
      <c r="K48" s="76">
        <f>IFERROR('HISTORICAL FS'!L37,0)</f>
        <v>59.376228775692432</v>
      </c>
      <c r="L48" s="80"/>
      <c r="M48" s="75">
        <f t="shared" si="2"/>
        <v>33.223334255992704</v>
      </c>
      <c r="N48" s="75">
        <f t="shared" si="3"/>
        <v>36.556922057138898</v>
      </c>
    </row>
    <row r="49" spans="1:15">
      <c r="A49" s="55" t="s">
        <v>214</v>
      </c>
      <c r="B49" s="76">
        <f>IFERROR(('HISTORICAL FS'!C32+'HISTORICAL FS'!C23)/'HISTORICAL FS'!C35,0)</f>
        <v>7.9624796084828624</v>
      </c>
      <c r="C49" s="76">
        <f>IFERROR(('HISTORICAL FS'!D32+'HISTORICAL FS'!D23)/'HISTORICAL FS'!D35,0)</f>
        <v>12.913539967373525</v>
      </c>
      <c r="D49" s="76">
        <f>IFERROR(('HISTORICAL FS'!E32+'HISTORICAL FS'!E23)/'HISTORICAL FS'!E35,0)</f>
        <v>29.475530179445396</v>
      </c>
      <c r="E49" s="76">
        <f>IFERROR(('HISTORICAL FS'!F32+'HISTORICAL FS'!F23)/'HISTORICAL FS'!F35,0)</f>
        <v>38.003262642740623</v>
      </c>
      <c r="F49" s="76">
        <f>IFERROR(('HISTORICAL FS'!G32+'HISTORICAL FS'!G23)/'HISTORICAL FS'!G35,0)</f>
        <v>40.01305057096252</v>
      </c>
      <c r="G49" s="76">
        <f>IFERROR(('HISTORICAL FS'!H32+'HISTORICAL FS'!H23)/'HISTORICAL FS'!H35,0)</f>
        <v>61.537833827893188</v>
      </c>
      <c r="H49" s="76">
        <f>IFERROR(('HISTORICAL FS'!I32+'HISTORICAL FS'!I23)/'HISTORICAL FS'!I35,0)</f>
        <v>52.605761940864248</v>
      </c>
      <c r="I49" s="76">
        <f>IFERROR(('HISTORICAL FS'!J32+'HISTORICAL FS'!J23)/'HISTORICAL FS'!J35,0)</f>
        <v>42.367702805155467</v>
      </c>
      <c r="J49" s="76">
        <f>IFERROR(('HISTORICAL FS'!K32+'HISTORICAL FS'!K23)/'HISTORICAL FS'!K35,0)</f>
        <v>70.163800904977322</v>
      </c>
      <c r="K49" s="76">
        <f>IFERROR(('HISTORICAL FS'!L32+'HISTORICAL FS'!L23)/'HISTORICAL FS'!L35,0)</f>
        <v>81.150134048257215</v>
      </c>
      <c r="L49" s="80"/>
      <c r="M49" s="75">
        <f t="shared" si="2"/>
        <v>43.619309649615239</v>
      </c>
      <c r="N49" s="75">
        <f t="shared" si="3"/>
        <v>47.581179654185497</v>
      </c>
    </row>
    <row r="50" spans="1:15">
      <c r="A50" s="55" t="s">
        <v>215</v>
      </c>
      <c r="B50" s="76">
        <f>IFERROR('HISTORICAL FS'!C40,0)</f>
        <v>1.1998368678629692</v>
      </c>
      <c r="C50" s="76">
        <f>IFERROR('HISTORICAL FS'!D40,0)</f>
        <v>1.5</v>
      </c>
      <c r="D50" s="76">
        <f>IFERROR('HISTORICAL FS'!E40,0)</f>
        <v>2</v>
      </c>
      <c r="E50" s="76">
        <f>IFERROR('HISTORICAL FS'!F40,0)</f>
        <v>2.4991843393148452</v>
      </c>
      <c r="F50" s="76">
        <f>IFERROR('HISTORICAL FS'!G40,0)</f>
        <v>2.4991843393148452</v>
      </c>
      <c r="G50" s="76">
        <f>IFERROR('HISTORICAL FS'!H40,0)</f>
        <v>7.5014836795252222</v>
      </c>
      <c r="H50" s="76">
        <f>IFERROR('HISTORICAL FS'!I40,0)</f>
        <v>7.0022744503411678</v>
      </c>
      <c r="I50" s="76">
        <f>IFERROR('HISTORICAL FS'!J40,0)</f>
        <v>7.0022744503411678</v>
      </c>
      <c r="J50" s="76">
        <f>IFERROR('HISTORICAL FS'!K40,0)</f>
        <v>18</v>
      </c>
      <c r="K50" s="76">
        <f>IFERROR('HISTORICAL FS'!L40,0)</f>
        <v>27.994638069705093</v>
      </c>
      <c r="L50" s="80"/>
      <c r="M50" s="75">
        <f t="shared" si="2"/>
        <v>7.7198876196405308</v>
      </c>
      <c r="N50" s="75">
        <f t="shared" si="3"/>
        <v>8.4443377031713709</v>
      </c>
    </row>
    <row r="51" spans="1:15">
      <c r="A51" s="55" t="s">
        <v>216</v>
      </c>
      <c r="B51" s="57">
        <f>IFERROR('HISTORICAL FS'!C41,0)</f>
        <v>0.37249936692833746</v>
      </c>
      <c r="C51" s="57">
        <f>IFERROR('HISTORICAL FS'!D41,0)</f>
        <v>0.19378292939936897</v>
      </c>
      <c r="D51" s="57">
        <f>IFERROR('HISTORICAL FS'!E41,0)</f>
        <v>8.5094568800971535E-2</v>
      </c>
      <c r="E51" s="57">
        <f>IFERROR('HISTORICAL FS'!F41,0)</f>
        <v>8.0906234321776557E-2</v>
      </c>
      <c r="F51" s="57">
        <f>IFERROR('HISTORICAL FS'!G41,0)</f>
        <v>7.9929044712265779E-2</v>
      </c>
      <c r="G51" s="57">
        <f>IFERROR('HISTORICAL FS'!H41,0)</f>
        <v>0.1421722319859402</v>
      </c>
      <c r="H51" s="57">
        <f>IFERROR('HISTORICAL FS'!I41,0)</f>
        <v>0.16439721614068828</v>
      </c>
      <c r="I51" s="57">
        <f>IFERROR('HISTORICAL FS'!J41,0)</f>
        <v>0.22594613107615494</v>
      </c>
      <c r="J51" s="57">
        <f>IFERROR('HISTORICAL FS'!K41,0)</f>
        <v>0.36081632653061263</v>
      </c>
      <c r="K51" s="57">
        <f>IFERROR('HISTORICAL FS'!L41,0)</f>
        <v>0.47147888383853703</v>
      </c>
      <c r="L51" s="80"/>
      <c r="M51" s="72">
        <f t="shared" si="2"/>
        <v>0.21770229337346536</v>
      </c>
      <c r="N51" s="72">
        <f t="shared" si="3"/>
        <v>0.20050261853403512</v>
      </c>
    </row>
    <row r="52" spans="1:15">
      <c r="A52" s="67" t="s">
        <v>217</v>
      </c>
      <c r="B52" s="73">
        <f>IFERROR(B50/'Data Sheet'!B8,0)</f>
        <v>3.6292706226950068E-4</v>
      </c>
      <c r="C52" s="73">
        <f>IFERROR(C50/'Data Sheet'!C8,0)</f>
        <v>0</v>
      </c>
      <c r="D52" s="73">
        <f>IFERROR(D50/'Data Sheet'!D8,0)</f>
        <v>0</v>
      </c>
      <c r="E52" s="73">
        <f>IFERROR(E50/'Data Sheet'!E8,0)</f>
        <v>0</v>
      </c>
      <c r="F52" s="73">
        <f>IFERROR(F50/'Data Sheet'!F8,0)</f>
        <v>0</v>
      </c>
      <c r="G52" s="73">
        <f>IFERROR(G50/'Data Sheet'!G8,0)</f>
        <v>0</v>
      </c>
      <c r="H52" s="73">
        <f>IFERROR(H50/'Data Sheet'!H8,0)</f>
        <v>0</v>
      </c>
      <c r="I52" s="73">
        <f>IFERROR(I50/'Data Sheet'!I8,0)</f>
        <v>0</v>
      </c>
      <c r="J52" s="73">
        <f>IFERROR(J50/'Data Sheet'!J8,0)</f>
        <v>0</v>
      </c>
      <c r="K52" s="73">
        <f>IFERROR(K50/'Data Sheet'!K8,0)</f>
        <v>0</v>
      </c>
      <c r="L52" s="83"/>
      <c r="M52" s="67"/>
      <c r="N52" s="67"/>
      <c r="O52" s="67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8186BB47-11AA-4E09-8640-CA8473FF926A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ANALYSIS'!B10:K10</xm:f>
              <xm:sqref>L10</xm:sqref>
            </x14:sparkline>
            <x14:sparkline>
              <xm:f>'RATIO ANALYSIS'!B11:K11</xm:f>
              <xm:sqref>L11</xm:sqref>
            </x14:sparkline>
            <x14:sparkline>
              <xm:f>'RATIO ANALYSIS'!B12:K12</xm:f>
              <xm:sqref>L12</xm:sqref>
            </x14:sparkline>
            <x14:sparkline>
              <xm:f>'RATIO ANALYSIS'!B13:K13</xm:f>
              <xm:sqref>L13</xm:sqref>
            </x14:sparkline>
            <x14:sparkline>
              <xm:f>'RATIO ANALYSIS'!B14:K14</xm:f>
              <xm:sqref>L14</xm:sqref>
            </x14:sparkline>
            <x14:sparkline>
              <xm:f>'RATIO ANALYSIS'!B15:K15</xm:f>
              <xm:sqref>L15</xm:sqref>
            </x14:sparkline>
            <x14:sparkline>
              <xm:f>'RATIO ANALYSIS'!B16:K16</xm:f>
              <xm:sqref>L16</xm:sqref>
            </x14:sparkline>
            <x14:sparkline>
              <xm:f>'RATIO ANALYSIS'!B17:K17</xm:f>
              <xm:sqref>L17</xm:sqref>
            </x14:sparkline>
            <x14:sparkline>
              <xm:f>'RATIO ANALYSIS'!B18:K18</xm:f>
              <xm:sqref>L18</xm:sqref>
            </x14:sparkline>
            <x14:sparkline>
              <xm:f>'RATIO ANALYSIS'!B19:K19</xm:f>
              <xm:sqref>L19</xm:sqref>
            </x14:sparkline>
            <x14:sparkline>
              <xm:f>'RATIO ANALYSIS'!B20:K20</xm:f>
              <xm:sqref>L20</xm:sqref>
            </x14:sparkline>
            <x14:sparkline>
              <xm:f>'RATIO ANALYSIS'!B21:K21</xm:f>
              <xm:sqref>L21</xm:sqref>
            </x14:sparkline>
            <x14:sparkline>
              <xm:f>'RATIO ANALYSIS'!B22:K22</xm:f>
              <xm:sqref>L22</xm:sqref>
            </x14:sparkline>
            <x14:sparkline>
              <xm:f>'RATIO ANALYSIS'!B23:K23</xm:f>
              <xm:sqref>L23</xm:sqref>
            </x14:sparkline>
            <x14:sparkline>
              <xm:f>'RATIO ANALYSIS'!B24:K24</xm:f>
              <xm:sqref>L24</xm:sqref>
            </x14:sparkline>
            <x14:sparkline>
              <xm:f>'RATIO ANALYSIS'!B25:K25</xm:f>
              <xm:sqref>L25</xm:sqref>
            </x14:sparkline>
            <x14:sparkline>
              <xm:f>'RATIO ANALYSIS'!B26:K26</xm:f>
              <xm:sqref>L26</xm:sqref>
            </x14:sparkline>
            <x14:sparkline>
              <xm:f>'RATIO ANALYSIS'!B27:K27</xm:f>
              <xm:sqref>L27</xm:sqref>
            </x14:sparkline>
            <x14:sparkline>
              <xm:f>'RATIO ANALYSIS'!B28:K28</xm:f>
              <xm:sqref>L28</xm:sqref>
            </x14:sparkline>
            <x14:sparkline>
              <xm:f>'RATIO ANALYSIS'!B29:K29</xm:f>
              <xm:sqref>L29</xm:sqref>
            </x14:sparkline>
            <x14:sparkline>
              <xm:f>'RATIO ANALYSIS'!B30:K30</xm:f>
              <xm:sqref>L30</xm:sqref>
            </x14:sparkline>
            <x14:sparkline>
              <xm:f>'RATIO ANALYSIS'!B31:K31</xm:f>
              <xm:sqref>L31</xm:sqref>
            </x14:sparkline>
            <x14:sparkline>
              <xm:f>'RATIO ANALYSIS'!B32:K32</xm:f>
              <xm:sqref>L32</xm:sqref>
            </x14:sparkline>
            <x14:sparkline>
              <xm:f>'RATIO ANALYSIS'!B33:K33</xm:f>
              <xm:sqref>L33</xm:sqref>
            </x14:sparkline>
            <x14:sparkline>
              <xm:f>'RATIO ANALYSIS'!B34:K34</xm:f>
              <xm:sqref>L34</xm:sqref>
            </x14:sparkline>
            <x14:sparkline>
              <xm:f>'RATIO ANALYSIS'!B35:K35</xm:f>
              <xm:sqref>L35</xm:sqref>
            </x14:sparkline>
            <x14:sparkline>
              <xm:f>'RATIO ANALYSIS'!B36:K36</xm:f>
              <xm:sqref>L36</xm:sqref>
            </x14:sparkline>
            <x14:sparkline>
              <xm:f>'RATIO ANALYSIS'!B37:K37</xm:f>
              <xm:sqref>L37</xm:sqref>
            </x14:sparkline>
            <x14:sparkline>
              <xm:f>'RATIO ANALYSIS'!B38:K38</xm:f>
              <xm:sqref>L38</xm:sqref>
            </x14:sparkline>
            <x14:sparkline>
              <xm:f>'RATIO ANALYSIS'!B39:K39</xm:f>
              <xm:sqref>L39</xm:sqref>
            </x14:sparkline>
            <x14:sparkline>
              <xm:f>'RATIO ANALYSIS'!B40:K40</xm:f>
              <xm:sqref>L40</xm:sqref>
            </x14:sparkline>
            <x14:sparkline>
              <xm:f>'RATIO ANALYSIS'!B41:K41</xm:f>
              <xm:sqref>L41</xm:sqref>
            </x14:sparkline>
            <x14:sparkline>
              <xm:f>'RATIO ANALYSIS'!B42:K42</xm:f>
              <xm:sqref>L42</xm:sqref>
            </x14:sparkline>
            <x14:sparkline>
              <xm:f>'RATIO ANALYSIS'!B43:K43</xm:f>
              <xm:sqref>L43</xm:sqref>
            </x14:sparkline>
            <x14:sparkline>
              <xm:f>'RATIO ANALYSIS'!B44:K44</xm:f>
              <xm:sqref>L44</xm:sqref>
            </x14:sparkline>
            <x14:sparkline>
              <xm:f>'RATIO ANALYSIS'!B45:K45</xm:f>
              <xm:sqref>L45</xm:sqref>
            </x14:sparkline>
            <x14:sparkline>
              <xm:f>'RATIO ANALYSIS'!B46:K46</xm:f>
              <xm:sqref>L46</xm:sqref>
            </x14:sparkline>
            <x14:sparkline>
              <xm:f>'RATIO ANALYSIS'!B47:K47</xm:f>
              <xm:sqref>L47</xm:sqref>
            </x14:sparkline>
            <x14:sparkline>
              <xm:f>'RATIO ANALYSIS'!B48:K48</xm:f>
              <xm:sqref>L48</xm:sqref>
            </x14:sparkline>
            <x14:sparkline>
              <xm:f>'RATIO ANALYSIS'!B49:K49</xm:f>
              <xm:sqref>L49</xm:sqref>
            </x14:sparkline>
            <x14:sparkline>
              <xm:f>'RATIO ANALYSIS'!B50:K50</xm:f>
              <xm:sqref>L50</xm:sqref>
            </x14:sparkline>
            <x14:sparkline>
              <xm:f>'RATIO ANALYSIS'!B51:K51</xm:f>
              <xm:sqref>L51</xm:sqref>
            </x14:sparkline>
            <x14:sparkline>
              <xm:f>'RATIO ANALYSIS'!B52:K52</xm:f>
              <xm:sqref>L52</xm:sqref>
            </x14:sparkline>
          </x14:sparklines>
        </x14:sparklineGroup>
        <x14:sparklineGroup displayEmptyCellsAs="gap" markers="1" xr2:uid="{8EFEE5B8-EA3B-4497-BD6E-9DB736B179D6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ANALYSIS'!C4:K4</xm:f>
              <xm:sqref>L4</xm:sqref>
            </x14:sparkline>
            <x14:sparkline>
              <xm:f>'RATIO ANALYSIS'!C5:K5</xm:f>
              <xm:sqref>L5</xm:sqref>
            </x14:sparkline>
            <x14:sparkline>
              <xm:f>'RATIO ANALYSIS'!C6:K6</xm:f>
              <xm:sqref>L6</xm:sqref>
            </x14:sparkline>
            <x14:sparkline>
              <xm:f>'RATIO ANALYSIS'!C7:K7</xm:f>
              <xm:sqref>L7</xm:sqref>
            </x14:sparkline>
            <x14:sparkline>
              <xm:f>'RATIO ANALYSIS'!C8:K8</xm:f>
              <xm:sqref>L8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D8BF-9217-4390-A6E1-34CE9764BA14}">
  <sheetPr>
    <tabColor rgb="FF92D050"/>
  </sheetPr>
  <dimension ref="B2:I19"/>
  <sheetViews>
    <sheetView workbookViewId="0">
      <selection activeCell="G15" sqref="G15"/>
    </sheetView>
  </sheetViews>
  <sheetFormatPr defaultColWidth="8.90625" defaultRowHeight="14.5"/>
  <cols>
    <col min="1" max="1" width="2.54296875" style="86" customWidth="1"/>
    <col min="2" max="2" width="13.08984375" style="86" bestFit="1" customWidth="1"/>
    <col min="3" max="7" width="8.90625" style="86"/>
    <col min="8" max="8" width="45.36328125" style="86" bestFit="1" customWidth="1"/>
    <col min="9" max="9" width="9.81640625" style="86" bestFit="1" customWidth="1"/>
    <col min="10" max="16384" width="8.90625" style="86"/>
  </cols>
  <sheetData>
    <row r="2" spans="2:9">
      <c r="B2" s="172" t="str">
        <f>'Data Sheet'!B1&amp; " - "&amp;'Data Sheet'!A17</f>
        <v>ESCORTS KUBOTA LTD - Sales</v>
      </c>
      <c r="C2" s="172"/>
      <c r="D2" s="172"/>
      <c r="E2" s="172"/>
      <c r="F2" s="172"/>
      <c r="H2" s="171"/>
      <c r="I2" s="171"/>
    </row>
    <row r="3" spans="2:9">
      <c r="B3" s="29" t="s">
        <v>220</v>
      </c>
      <c r="C3" s="29" t="s">
        <v>219</v>
      </c>
      <c r="D3" s="29" t="s">
        <v>221</v>
      </c>
      <c r="E3" s="29" t="s">
        <v>222</v>
      </c>
      <c r="F3" s="29"/>
      <c r="H3" s="157"/>
      <c r="I3" s="157"/>
    </row>
    <row r="4" spans="2:9">
      <c r="B4" s="86">
        <v>1</v>
      </c>
      <c r="C4" s="86" t="s">
        <v>223</v>
      </c>
      <c r="D4" s="153">
        <v>3431.99</v>
      </c>
      <c r="E4" s="86" t="s">
        <v>97</v>
      </c>
      <c r="I4" s="77"/>
    </row>
    <row r="5" spans="2:9">
      <c r="B5" s="86">
        <v>2</v>
      </c>
      <c r="C5" s="86" t="s">
        <v>224</v>
      </c>
      <c r="D5" s="153">
        <v>4145.33</v>
      </c>
      <c r="E5" s="77">
        <f>D5/D4-1</f>
        <v>0.20785025597393947</v>
      </c>
      <c r="I5" s="158"/>
    </row>
    <row r="6" spans="2:9">
      <c r="B6" s="86">
        <v>3</v>
      </c>
      <c r="C6" s="86" t="s">
        <v>225</v>
      </c>
      <c r="D6" s="153">
        <v>5059.34</v>
      </c>
      <c r="E6" s="77">
        <f t="shared" ref="E6:E18" si="0">D6/D5-1</f>
        <v>0.22049149283651737</v>
      </c>
      <c r="I6" s="77"/>
    </row>
    <row r="7" spans="2:9">
      <c r="B7" s="86">
        <v>4</v>
      </c>
      <c r="C7" s="86" t="s">
        <v>226</v>
      </c>
      <c r="D7" s="153">
        <v>6262.02</v>
      </c>
      <c r="E7" s="77">
        <f t="shared" si="0"/>
        <v>0.23771480074476115</v>
      </c>
      <c r="I7" s="77"/>
    </row>
    <row r="8" spans="2:9">
      <c r="B8" s="86">
        <v>5</v>
      </c>
      <c r="C8" s="86" t="s">
        <v>227</v>
      </c>
      <c r="D8" s="153">
        <v>5810.09</v>
      </c>
      <c r="E8" s="77">
        <f t="shared" si="0"/>
        <v>-7.2170002650901788E-2</v>
      </c>
      <c r="I8" s="155"/>
    </row>
    <row r="9" spans="2:9">
      <c r="B9" s="86">
        <v>6</v>
      </c>
      <c r="C9" s="86" t="s">
        <v>228</v>
      </c>
      <c r="D9" s="153">
        <v>7014.42</v>
      </c>
      <c r="E9" s="77">
        <f t="shared" si="0"/>
        <v>0.20728250336913878</v>
      </c>
      <c r="I9" s="156"/>
    </row>
    <row r="10" spans="2:9">
      <c r="B10" s="86">
        <v>7</v>
      </c>
      <c r="C10" s="86" t="s">
        <v>229</v>
      </c>
      <c r="D10" s="153">
        <v>7282.65</v>
      </c>
      <c r="E10" s="77">
        <f t="shared" si="0"/>
        <v>3.8239797445833057E-2</v>
      </c>
      <c r="I10" s="155"/>
    </row>
    <row r="11" spans="2:9">
      <c r="B11" s="86">
        <v>8</v>
      </c>
      <c r="C11" s="86" t="s">
        <v>230</v>
      </c>
      <c r="D11" s="153">
        <v>8428.69</v>
      </c>
      <c r="E11" s="77">
        <f t="shared" si="0"/>
        <v>0.15736579404475037</v>
      </c>
    </row>
    <row r="12" spans="2:9">
      <c r="B12" s="86">
        <v>9</v>
      </c>
      <c r="C12" s="86" t="s">
        <v>231</v>
      </c>
      <c r="D12" s="153">
        <v>9803.59</v>
      </c>
      <c r="E12" s="77">
        <f t="shared" si="0"/>
        <v>0.16312143405440227</v>
      </c>
      <c r="I12" s="155"/>
    </row>
    <row r="13" spans="2:9">
      <c r="B13" s="86">
        <v>10</v>
      </c>
      <c r="C13" s="86" t="s">
        <v>232</v>
      </c>
      <c r="D13" s="153">
        <v>10243.879999999999</v>
      </c>
      <c r="E13" s="77">
        <f t="shared" si="0"/>
        <v>4.4911098893364532E-2</v>
      </c>
    </row>
    <row r="14" spans="2:9">
      <c r="B14" s="87">
        <v>11</v>
      </c>
      <c r="C14" s="87" t="s">
        <v>233</v>
      </c>
      <c r="D14" s="87">
        <f>FORECAST(B14,$D$4:$D$13,$B$4:$B$13)</f>
        <v>10815.793333333335</v>
      </c>
      <c r="E14" s="154">
        <f>D14/D13-1</f>
        <v>5.5829757214389097E-2</v>
      </c>
    </row>
    <row r="15" spans="2:9">
      <c r="B15" s="87">
        <v>12</v>
      </c>
      <c r="C15" s="87" t="s">
        <v>234</v>
      </c>
      <c r="D15" s="87">
        <f t="shared" ref="D15:D18" si="1">FORECAST(B15,$D$4:$D$13,$B$4:$B$13)</f>
        <v>11555.355757575759</v>
      </c>
      <c r="E15" s="154">
        <f t="shared" si="0"/>
        <v>6.8378009957268393E-2</v>
      </c>
    </row>
    <row r="16" spans="2:9">
      <c r="B16" s="87">
        <v>13</v>
      </c>
      <c r="C16" s="87" t="s">
        <v>235</v>
      </c>
      <c r="D16" s="87">
        <f t="shared" si="1"/>
        <v>12294.918181818182</v>
      </c>
      <c r="E16" s="154">
        <f t="shared" si="0"/>
        <v>6.4001701008431722E-2</v>
      </c>
    </row>
    <row r="17" spans="2:5">
      <c r="B17" s="87">
        <v>14</v>
      </c>
      <c r="C17" s="87" t="s">
        <v>236</v>
      </c>
      <c r="D17" s="87">
        <f t="shared" si="1"/>
        <v>13034.480606060606</v>
      </c>
      <c r="E17" s="154">
        <f t="shared" si="0"/>
        <v>6.0151878467649578E-2</v>
      </c>
    </row>
    <row r="18" spans="2:5">
      <c r="B18" s="87">
        <v>15</v>
      </c>
      <c r="C18" s="87" t="s">
        <v>237</v>
      </c>
      <c r="D18" s="87">
        <f t="shared" si="1"/>
        <v>13774.04303030303</v>
      </c>
      <c r="E18" s="154">
        <f t="shared" si="0"/>
        <v>5.6738925515647409E-2</v>
      </c>
    </row>
    <row r="19" spans="2:5">
      <c r="E19" s="77"/>
    </row>
  </sheetData>
  <mergeCells count="2">
    <mergeCell ref="H2:I2"/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A141-7975-44C7-B2D8-DE7787C1AE24}">
  <sheetPr>
    <tabColor rgb="FF92D050"/>
  </sheetPr>
  <dimension ref="A1:O73"/>
  <sheetViews>
    <sheetView showGridLines="0" zoomScale="72" workbookViewId="0">
      <selection activeCell="D1" sqref="D1"/>
    </sheetView>
  </sheetViews>
  <sheetFormatPr defaultRowHeight="14.5"/>
  <cols>
    <col min="1" max="1" width="10.54296875" style="104" bestFit="1" customWidth="1"/>
    <col min="2" max="2" width="9.26953125" style="104" bestFit="1" customWidth="1"/>
    <col min="3" max="3" width="20.1796875" style="104" bestFit="1" customWidth="1"/>
    <col min="4" max="4" width="13.6328125" style="104" bestFit="1" customWidth="1"/>
    <col min="5" max="5" width="11.90625" style="104" bestFit="1" customWidth="1"/>
    <col min="6" max="6" width="8.7265625" style="104"/>
    <col min="7" max="7" width="17.36328125" style="104" bestFit="1" customWidth="1"/>
    <col min="8" max="8" width="11.90625" style="104" bestFit="1" customWidth="1"/>
    <col min="9" max="9" width="13.54296875" style="104" bestFit="1" customWidth="1"/>
    <col min="10" max="11" width="11.90625" style="104" bestFit="1" customWidth="1"/>
    <col min="12" max="12" width="12.6328125" style="104" bestFit="1" customWidth="1"/>
    <col min="13" max="13" width="11.90625" style="104" bestFit="1" customWidth="1"/>
    <col min="14" max="14" width="12.6328125" style="104" bestFit="1" customWidth="1"/>
    <col min="15" max="15" width="12.08984375" style="104" bestFit="1" customWidth="1"/>
    <col min="16" max="16384" width="8.7265625" style="104"/>
  </cols>
  <sheetData>
    <row r="1" spans="1:15">
      <c r="A1" s="136" t="s">
        <v>283</v>
      </c>
      <c r="B1" s="136" t="s">
        <v>284</v>
      </c>
      <c r="C1" s="136" t="s">
        <v>285</v>
      </c>
      <c r="D1" s="136" t="s">
        <v>286</v>
      </c>
      <c r="E1" s="136" t="s">
        <v>287</v>
      </c>
      <c r="G1" s="2" t="s">
        <v>311</v>
      </c>
      <c r="H1"/>
      <c r="I1"/>
      <c r="J1"/>
      <c r="K1"/>
      <c r="L1"/>
      <c r="M1"/>
      <c r="N1"/>
      <c r="O1"/>
    </row>
    <row r="2" spans="1:15" ht="15" thickBot="1">
      <c r="A2" s="113">
        <v>43952</v>
      </c>
      <c r="B2" s="114">
        <v>9580.2999999999993</v>
      </c>
      <c r="C2" s="104">
        <v>901.36</v>
      </c>
      <c r="G2"/>
      <c r="H2"/>
      <c r="I2"/>
      <c r="J2"/>
      <c r="K2"/>
      <c r="L2"/>
      <c r="M2"/>
      <c r="N2"/>
      <c r="O2"/>
    </row>
    <row r="3" spans="1:15">
      <c r="A3" s="113">
        <v>43983</v>
      </c>
      <c r="B3" s="114">
        <v>10302.1</v>
      </c>
      <c r="C3" s="114">
        <v>1037.82</v>
      </c>
      <c r="D3" s="115">
        <f>(B3-B2)/B2</f>
        <v>7.5342108284709372E-2</v>
      </c>
      <c r="E3" s="115">
        <f>(C3-C2)/C2</f>
        <v>0.15139344989793194</v>
      </c>
      <c r="G3" s="126" t="s">
        <v>312</v>
      </c>
      <c r="H3" s="126"/>
      <c r="I3"/>
      <c r="J3"/>
      <c r="K3"/>
      <c r="L3"/>
      <c r="M3"/>
      <c r="N3"/>
      <c r="O3"/>
    </row>
    <row r="4" spans="1:15">
      <c r="A4" s="113">
        <v>44013</v>
      </c>
      <c r="B4" s="114">
        <v>11073.45</v>
      </c>
      <c r="C4" s="114">
        <v>1131.6300000000001</v>
      </c>
      <c r="D4" s="115">
        <f t="shared" ref="D4:D62" si="0">(B4-B3)/B3</f>
        <v>7.4873084128478692E-2</v>
      </c>
      <c r="E4" s="115">
        <f t="shared" ref="E4:E62" si="1">(C4-C3)/C3</f>
        <v>9.0391397352142161E-2</v>
      </c>
      <c r="G4" t="s">
        <v>313</v>
      </c>
      <c r="H4">
        <v>0.35344824366585503</v>
      </c>
      <c r="I4"/>
      <c r="J4"/>
      <c r="K4"/>
      <c r="L4"/>
      <c r="M4"/>
      <c r="N4"/>
      <c r="O4"/>
    </row>
    <row r="5" spans="1:15">
      <c r="A5" s="113">
        <v>44044</v>
      </c>
      <c r="B5" s="114">
        <v>11387.5</v>
      </c>
      <c r="C5" s="114">
        <v>1085.32</v>
      </c>
      <c r="D5" s="115">
        <f t="shared" si="0"/>
        <v>2.8360628349791552E-2</v>
      </c>
      <c r="E5" s="115">
        <f t="shared" si="1"/>
        <v>-4.0923269973401351E-2</v>
      </c>
      <c r="G5" t="s">
        <v>314</v>
      </c>
      <c r="H5">
        <v>0.12492566095047762</v>
      </c>
      <c r="I5"/>
      <c r="J5"/>
      <c r="K5"/>
      <c r="L5"/>
      <c r="M5"/>
      <c r="N5"/>
      <c r="O5"/>
    </row>
    <row r="6" spans="1:15">
      <c r="A6" s="113">
        <v>44075</v>
      </c>
      <c r="B6" s="114">
        <v>11247.55</v>
      </c>
      <c r="C6" s="114">
        <v>1315.69</v>
      </c>
      <c r="D6" s="115">
        <f t="shared" si="0"/>
        <v>-1.2289791437980306E-2</v>
      </c>
      <c r="E6" s="115">
        <f t="shared" si="1"/>
        <v>0.21225997862381613</v>
      </c>
      <c r="G6" t="s">
        <v>315</v>
      </c>
      <c r="H6">
        <v>0.10983817234617552</v>
      </c>
      <c r="I6"/>
      <c r="J6"/>
      <c r="K6"/>
      <c r="L6"/>
      <c r="M6"/>
      <c r="N6"/>
      <c r="O6"/>
    </row>
    <row r="7" spans="1:15">
      <c r="A7" s="113">
        <v>44105</v>
      </c>
      <c r="B7" s="114">
        <v>11642.4</v>
      </c>
      <c r="C7" s="114">
        <v>1198.44</v>
      </c>
      <c r="D7" s="115">
        <f t="shared" si="0"/>
        <v>3.5105422958777721E-2</v>
      </c>
      <c r="E7" s="115">
        <f t="shared" si="1"/>
        <v>-8.9116737225334225E-2</v>
      </c>
      <c r="G7" t="s">
        <v>316</v>
      </c>
      <c r="H7">
        <v>9.2741091212647037E-2</v>
      </c>
      <c r="I7"/>
      <c r="J7"/>
      <c r="K7"/>
      <c r="L7"/>
      <c r="M7"/>
      <c r="N7"/>
      <c r="O7"/>
    </row>
    <row r="8" spans="1:15" ht="15" thickBot="1">
      <c r="A8" s="113">
        <v>44136</v>
      </c>
      <c r="B8" s="114">
        <v>12968.95</v>
      </c>
      <c r="C8" s="114">
        <v>1400.91</v>
      </c>
      <c r="D8" s="115">
        <f t="shared" si="0"/>
        <v>0.11394128358414082</v>
      </c>
      <c r="E8" s="115">
        <f t="shared" si="1"/>
        <v>0.16894462801642135</v>
      </c>
      <c r="G8" s="127" t="s">
        <v>317</v>
      </c>
      <c r="H8" s="127">
        <v>60</v>
      </c>
      <c r="I8"/>
      <c r="J8"/>
      <c r="K8"/>
      <c r="L8"/>
      <c r="M8"/>
      <c r="N8"/>
      <c r="O8"/>
    </row>
    <row r="9" spans="1:15">
      <c r="A9" s="113">
        <v>44166</v>
      </c>
      <c r="B9" s="114">
        <v>13981.75</v>
      </c>
      <c r="C9" s="114">
        <v>1257.76</v>
      </c>
      <c r="D9" s="115">
        <f t="shared" si="0"/>
        <v>7.8094217342190325E-2</v>
      </c>
      <c r="E9" s="115">
        <f t="shared" si="1"/>
        <v>-0.10218358067256289</v>
      </c>
      <c r="G9"/>
      <c r="H9"/>
      <c r="I9"/>
      <c r="J9"/>
      <c r="K9"/>
      <c r="L9"/>
      <c r="M9"/>
      <c r="N9"/>
      <c r="O9"/>
    </row>
    <row r="10" spans="1:15" ht="15" thickBot="1">
      <c r="A10" s="113">
        <v>44197</v>
      </c>
      <c r="B10" s="114">
        <v>13634.6</v>
      </c>
      <c r="C10" s="114">
        <v>1203.18</v>
      </c>
      <c r="D10" s="115">
        <f t="shared" si="0"/>
        <v>-2.4828794678777667E-2</v>
      </c>
      <c r="E10" s="115">
        <f t="shared" si="1"/>
        <v>-4.3394606284187703E-2</v>
      </c>
      <c r="G10" t="s">
        <v>318</v>
      </c>
      <c r="H10"/>
      <c r="I10"/>
      <c r="J10"/>
      <c r="K10"/>
      <c r="L10"/>
      <c r="M10"/>
      <c r="N10"/>
      <c r="O10"/>
    </row>
    <row r="11" spans="1:15">
      <c r="A11" s="113">
        <v>44228</v>
      </c>
      <c r="B11" s="114">
        <v>14529.15</v>
      </c>
      <c r="C11" s="114">
        <v>1308.1600000000001</v>
      </c>
      <c r="D11" s="115">
        <f t="shared" si="0"/>
        <v>6.5608818740557059E-2</v>
      </c>
      <c r="E11" s="115">
        <f t="shared" si="1"/>
        <v>8.7252115227979196E-2</v>
      </c>
      <c r="G11" s="128"/>
      <c r="H11" s="128" t="s">
        <v>319</v>
      </c>
      <c r="I11" s="128" t="s">
        <v>320</v>
      </c>
      <c r="J11" s="128" t="s">
        <v>321</v>
      </c>
      <c r="K11" s="128" t="s">
        <v>322</v>
      </c>
      <c r="L11" s="128" t="s">
        <v>323</v>
      </c>
      <c r="M11"/>
      <c r="N11"/>
      <c r="O11"/>
    </row>
    <row r="12" spans="1:15">
      <c r="A12" s="113">
        <v>44256</v>
      </c>
      <c r="B12" s="114">
        <v>14690.7</v>
      </c>
      <c r="C12" s="114">
        <v>1285.0999999999999</v>
      </c>
      <c r="D12" s="115">
        <f t="shared" si="0"/>
        <v>1.1119026233468655E-2</v>
      </c>
      <c r="E12" s="115">
        <f t="shared" si="1"/>
        <v>-1.7627813111546119E-2</v>
      </c>
      <c r="G12" t="s">
        <v>324</v>
      </c>
      <c r="H12">
        <v>1</v>
      </c>
      <c r="I12">
        <v>7.121625040586993E-2</v>
      </c>
      <c r="J12">
        <v>7.121625040586993E-2</v>
      </c>
      <c r="K12">
        <v>8.2800832018428689</v>
      </c>
      <c r="L12">
        <v>5.6015863489899407E-3</v>
      </c>
      <c r="M12"/>
      <c r="N12"/>
      <c r="O12"/>
    </row>
    <row r="13" spans="1:15">
      <c r="A13" s="113">
        <v>44287</v>
      </c>
      <c r="B13" s="114">
        <v>14631.1</v>
      </c>
      <c r="C13" s="114">
        <v>1116.26</v>
      </c>
      <c r="D13" s="115">
        <f t="shared" si="0"/>
        <v>-4.056988434860174E-3</v>
      </c>
      <c r="E13" s="115">
        <f t="shared" si="1"/>
        <v>-0.13138277176873389</v>
      </c>
      <c r="G13" t="s">
        <v>325</v>
      </c>
      <c r="H13">
        <v>58</v>
      </c>
      <c r="I13">
        <v>0.49885277996012595</v>
      </c>
      <c r="J13">
        <v>8.6009099993125167E-3</v>
      </c>
      <c r="K13"/>
      <c r="L13"/>
      <c r="M13"/>
      <c r="N13"/>
      <c r="O13"/>
    </row>
    <row r="14" spans="1:15" ht="15" thickBot="1">
      <c r="A14" s="113">
        <v>44317</v>
      </c>
      <c r="B14" s="114">
        <v>15582.8</v>
      </c>
      <c r="C14" s="114">
        <v>1169.3499999999999</v>
      </c>
      <c r="D14" s="115">
        <f t="shared" si="0"/>
        <v>6.5046373820150147E-2</v>
      </c>
      <c r="E14" s="115">
        <f t="shared" si="1"/>
        <v>4.7560604160320999E-2</v>
      </c>
      <c r="G14" s="127" t="s">
        <v>26</v>
      </c>
      <c r="H14" s="127">
        <v>59</v>
      </c>
      <c r="I14" s="127">
        <v>0.57006903036599588</v>
      </c>
      <c r="J14" s="127"/>
      <c r="K14" s="127"/>
      <c r="L14" s="127"/>
      <c r="M14"/>
      <c r="N14"/>
      <c r="O14"/>
    </row>
    <row r="15" spans="1:15" ht="15" thickBot="1">
      <c r="A15" s="113">
        <v>44348</v>
      </c>
      <c r="B15" s="114">
        <v>15721.5</v>
      </c>
      <c r="C15" s="114">
        <v>1217.55</v>
      </c>
      <c r="D15" s="115">
        <f t="shared" si="0"/>
        <v>8.9008393870165011E-3</v>
      </c>
      <c r="E15" s="115">
        <f t="shared" si="1"/>
        <v>4.1219480908196902E-2</v>
      </c>
      <c r="G15"/>
      <c r="H15"/>
      <c r="I15"/>
      <c r="J15"/>
      <c r="K15"/>
      <c r="L15"/>
      <c r="M15"/>
      <c r="N15"/>
      <c r="O15"/>
    </row>
    <row r="16" spans="1:15">
      <c r="A16" s="113">
        <v>44378</v>
      </c>
      <c r="B16" s="114">
        <v>15763.05</v>
      </c>
      <c r="C16" s="114">
        <v>1184.3499999999999</v>
      </c>
      <c r="D16" s="115">
        <f t="shared" si="0"/>
        <v>2.6428775880163644E-3</v>
      </c>
      <c r="E16" s="115">
        <f t="shared" si="1"/>
        <v>-2.7267874009280973E-2</v>
      </c>
      <c r="G16" s="128"/>
      <c r="H16" s="128" t="s">
        <v>326</v>
      </c>
      <c r="I16" s="128" t="s">
        <v>316</v>
      </c>
      <c r="J16" s="128" t="s">
        <v>327</v>
      </c>
      <c r="K16" s="128" t="s">
        <v>328</v>
      </c>
      <c r="L16" s="128" t="s">
        <v>329</v>
      </c>
      <c r="M16" s="128" t="s">
        <v>330</v>
      </c>
      <c r="N16" s="128" t="s">
        <v>331</v>
      </c>
      <c r="O16" s="128" t="s">
        <v>332</v>
      </c>
    </row>
    <row r="17" spans="1:15">
      <c r="A17" s="113">
        <v>44409</v>
      </c>
      <c r="B17" s="114">
        <v>17132.2</v>
      </c>
      <c r="C17" s="114">
        <v>1346.35</v>
      </c>
      <c r="D17" s="115">
        <f t="shared" si="0"/>
        <v>8.6858190515160555E-2</v>
      </c>
      <c r="E17" s="115">
        <f t="shared" si="1"/>
        <v>0.13678388989741208</v>
      </c>
      <c r="G17" t="s">
        <v>333</v>
      </c>
      <c r="H17">
        <v>1.2100659176891062E-2</v>
      </c>
      <c r="I17">
        <v>1.298863115872664E-2</v>
      </c>
      <c r="J17">
        <v>0.93163467566488112</v>
      </c>
      <c r="K17">
        <v>0.35538724950598022</v>
      </c>
      <c r="L17">
        <v>-1.389891090864564E-2</v>
      </c>
      <c r="M17">
        <v>3.8100229262427766E-2</v>
      </c>
      <c r="N17">
        <v>-1.389891090864564E-2</v>
      </c>
      <c r="O17">
        <v>3.8100229262427766E-2</v>
      </c>
    </row>
    <row r="18" spans="1:15" ht="15" thickBot="1">
      <c r="A18" s="113">
        <v>44440</v>
      </c>
      <c r="B18" s="114">
        <v>17618.150000000001</v>
      </c>
      <c r="C18" s="114">
        <v>1480.1</v>
      </c>
      <c r="D18" s="115">
        <f t="shared" si="0"/>
        <v>2.8364716732235246E-2</v>
      </c>
      <c r="E18" s="115">
        <f t="shared" si="1"/>
        <v>9.9342667211349212E-2</v>
      </c>
      <c r="G18" s="127" t="s">
        <v>334</v>
      </c>
      <c r="H18" s="127">
        <v>0.86663737235726068</v>
      </c>
      <c r="I18" s="127">
        <v>0.30117579331160271</v>
      </c>
      <c r="J18" s="127">
        <v>2.87751337127091</v>
      </c>
      <c r="K18" s="127">
        <v>5.6015863489899407E-3</v>
      </c>
      <c r="L18" s="127">
        <v>0.26376852108411397</v>
      </c>
      <c r="M18" s="127">
        <v>1.4695062236304075</v>
      </c>
      <c r="N18" s="127">
        <v>0.26376852108411397</v>
      </c>
      <c r="O18" s="127">
        <v>1.4695062236304075</v>
      </c>
    </row>
    <row r="19" spans="1:15">
      <c r="A19" s="113">
        <v>44470</v>
      </c>
      <c r="B19" s="114">
        <v>17671.650000000001</v>
      </c>
      <c r="C19" s="114">
        <v>1569.4</v>
      </c>
      <c r="D19" s="115">
        <f t="shared" si="0"/>
        <v>3.0366411910444624E-3</v>
      </c>
      <c r="E19" s="115">
        <f t="shared" si="1"/>
        <v>6.0333761232349292E-2</v>
      </c>
    </row>
    <row r="20" spans="1:15">
      <c r="A20" s="113">
        <v>44501</v>
      </c>
      <c r="B20" s="114">
        <v>16983.2</v>
      </c>
      <c r="C20" s="114">
        <v>1846.3</v>
      </c>
      <c r="D20" s="115">
        <f t="shared" si="0"/>
        <v>-3.8957878862471852E-2</v>
      </c>
      <c r="E20" s="115">
        <f t="shared" si="1"/>
        <v>0.17643685484898677</v>
      </c>
    </row>
    <row r="21" spans="1:15">
      <c r="A21" s="113">
        <v>44531</v>
      </c>
      <c r="B21" s="114">
        <v>17354.05</v>
      </c>
      <c r="C21" s="114">
        <v>1908.7</v>
      </c>
      <c r="D21" s="115">
        <f t="shared" si="0"/>
        <v>2.1836285270149237E-2</v>
      </c>
      <c r="E21" s="115">
        <f t="shared" si="1"/>
        <v>3.3797324378486752E-2</v>
      </c>
    </row>
    <row r="22" spans="1:15">
      <c r="A22" s="113">
        <v>44562</v>
      </c>
      <c r="B22" s="114">
        <v>17339.849999999999</v>
      </c>
      <c r="C22" s="114">
        <v>1850.35</v>
      </c>
      <c r="D22" s="115">
        <f t="shared" si="0"/>
        <v>-8.1825279977876795E-4</v>
      </c>
      <c r="E22" s="115">
        <f t="shared" si="1"/>
        <v>-3.0570545397390965E-2</v>
      </c>
    </row>
    <row r="23" spans="1:15">
      <c r="A23" s="113">
        <v>44593</v>
      </c>
      <c r="B23" s="114">
        <v>16793.900000000001</v>
      </c>
      <c r="C23" s="114">
        <v>1850.95</v>
      </c>
      <c r="D23" s="115">
        <f t="shared" si="0"/>
        <v>-3.1485278131010194E-2</v>
      </c>
      <c r="E23" s="115">
        <f t="shared" si="1"/>
        <v>3.2426297727464345E-4</v>
      </c>
    </row>
    <row r="24" spans="1:15">
      <c r="A24" s="113">
        <v>44621</v>
      </c>
      <c r="B24" s="114">
        <v>17464.75</v>
      </c>
      <c r="C24" s="114">
        <v>1690.85</v>
      </c>
      <c r="D24" s="115">
        <f t="shared" si="0"/>
        <v>3.9946051840251427E-2</v>
      </c>
      <c r="E24" s="115">
        <f t="shared" si="1"/>
        <v>-8.6496123612199216E-2</v>
      </c>
    </row>
    <row r="25" spans="1:15">
      <c r="A25" s="113">
        <v>44652</v>
      </c>
      <c r="B25" s="114">
        <v>17102.55</v>
      </c>
      <c r="C25" s="114">
        <v>1634.85</v>
      </c>
      <c r="D25" s="115">
        <f t="shared" si="0"/>
        <v>-2.0738916961307818E-2</v>
      </c>
      <c r="E25" s="115">
        <f t="shared" si="1"/>
        <v>-3.3119436969571522E-2</v>
      </c>
    </row>
    <row r="26" spans="1:15">
      <c r="A26" s="113">
        <v>44682</v>
      </c>
      <c r="B26" s="114">
        <v>16584.55</v>
      </c>
      <c r="C26" s="114">
        <v>1629.95</v>
      </c>
      <c r="D26" s="115">
        <f t="shared" si="0"/>
        <v>-3.0287881046978375E-2</v>
      </c>
      <c r="E26" s="115">
        <f t="shared" si="1"/>
        <v>-2.9972168700491569E-3</v>
      </c>
    </row>
    <row r="27" spans="1:15">
      <c r="A27" s="113">
        <v>44713</v>
      </c>
      <c r="B27" s="114">
        <v>15780.25</v>
      </c>
      <c r="C27" s="114">
        <v>1444.8</v>
      </c>
      <c r="D27" s="115">
        <f t="shared" si="0"/>
        <v>-4.849694444528186E-2</v>
      </c>
      <c r="E27" s="115">
        <f t="shared" si="1"/>
        <v>-0.1135924414859352</v>
      </c>
    </row>
    <row r="28" spans="1:15">
      <c r="A28" s="113">
        <v>44743</v>
      </c>
      <c r="B28" s="114">
        <v>17158.25</v>
      </c>
      <c r="C28" s="114">
        <v>1733</v>
      </c>
      <c r="D28" s="115">
        <f t="shared" si="0"/>
        <v>8.7324345305049039E-2</v>
      </c>
      <c r="E28" s="115">
        <f t="shared" si="1"/>
        <v>0.19947397563676636</v>
      </c>
    </row>
    <row r="29" spans="1:15">
      <c r="A29" s="113">
        <v>44774</v>
      </c>
      <c r="B29" s="114">
        <v>17759.3</v>
      </c>
      <c r="C29" s="114">
        <v>1994.75</v>
      </c>
      <c r="D29" s="115">
        <f t="shared" si="0"/>
        <v>3.5029796162195988E-2</v>
      </c>
      <c r="E29" s="115">
        <f t="shared" si="1"/>
        <v>0.15103866128101559</v>
      </c>
    </row>
    <row r="30" spans="1:15">
      <c r="A30" s="113">
        <v>44805</v>
      </c>
      <c r="B30" s="114">
        <v>17094.349999999999</v>
      </c>
      <c r="C30" s="114">
        <v>2127.8000000000002</v>
      </c>
      <c r="D30" s="115">
        <f t="shared" si="0"/>
        <v>-3.7442354146841418E-2</v>
      </c>
      <c r="E30" s="115">
        <f t="shared" si="1"/>
        <v>6.670008773029211E-2</v>
      </c>
    </row>
    <row r="31" spans="1:15">
      <c r="A31" s="113">
        <v>44835</v>
      </c>
      <c r="B31" s="114">
        <v>18012.2</v>
      </c>
      <c r="C31" s="114">
        <v>2038.35</v>
      </c>
      <c r="D31" s="115">
        <f t="shared" si="0"/>
        <v>5.3693179325332768E-2</v>
      </c>
      <c r="E31" s="115">
        <f t="shared" si="1"/>
        <v>-4.2038725444120816E-2</v>
      </c>
    </row>
    <row r="32" spans="1:15">
      <c r="A32" s="113">
        <v>44866</v>
      </c>
      <c r="B32" s="114">
        <v>18758.349999999999</v>
      </c>
      <c r="C32" s="114">
        <v>2286.5</v>
      </c>
      <c r="D32" s="115">
        <f t="shared" si="0"/>
        <v>4.1424701035964392E-2</v>
      </c>
      <c r="E32" s="115">
        <f t="shared" si="1"/>
        <v>0.12174062354355243</v>
      </c>
    </row>
    <row r="33" spans="1:5">
      <c r="A33" s="113">
        <v>44896</v>
      </c>
      <c r="B33" s="114">
        <v>18105.3</v>
      </c>
      <c r="C33" s="114">
        <v>2140.15</v>
      </c>
      <c r="D33" s="115">
        <f t="shared" si="0"/>
        <v>-3.4813829574562756E-2</v>
      </c>
      <c r="E33" s="115">
        <f t="shared" si="1"/>
        <v>-6.4006122895254716E-2</v>
      </c>
    </row>
    <row r="34" spans="1:5">
      <c r="A34" s="113">
        <v>44927</v>
      </c>
      <c r="B34" s="114">
        <v>17662.150000000001</v>
      </c>
      <c r="C34" s="114">
        <v>2088.4</v>
      </c>
      <c r="D34" s="115">
        <f t="shared" si="0"/>
        <v>-2.4476258333195132E-2</v>
      </c>
      <c r="E34" s="115">
        <f t="shared" si="1"/>
        <v>-2.4180548092423426E-2</v>
      </c>
    </row>
    <row r="35" spans="1:5">
      <c r="A35" s="113">
        <v>44958</v>
      </c>
      <c r="B35" s="114">
        <v>17303.95</v>
      </c>
      <c r="C35" s="114">
        <v>2075.35</v>
      </c>
      <c r="D35" s="115">
        <f t="shared" si="0"/>
        <v>-2.0280656658447624E-2</v>
      </c>
      <c r="E35" s="115">
        <f t="shared" si="1"/>
        <v>-6.248802911319757E-3</v>
      </c>
    </row>
    <row r="36" spans="1:5">
      <c r="A36" s="113">
        <v>44986</v>
      </c>
      <c r="B36" s="114">
        <v>17359.75</v>
      </c>
      <c r="C36" s="114">
        <v>1891.05</v>
      </c>
      <c r="D36" s="115">
        <f t="shared" si="0"/>
        <v>3.2246972512056074E-3</v>
      </c>
      <c r="E36" s="115">
        <f t="shared" si="1"/>
        <v>-8.8804298070205012E-2</v>
      </c>
    </row>
    <row r="37" spans="1:5">
      <c r="A37" s="113">
        <v>45017</v>
      </c>
      <c r="B37" s="114">
        <v>18065</v>
      </c>
      <c r="C37" s="114">
        <v>1981.15</v>
      </c>
      <c r="D37" s="115">
        <f t="shared" si="0"/>
        <v>4.0625585045867593E-2</v>
      </c>
      <c r="E37" s="115">
        <f t="shared" si="1"/>
        <v>4.7645487956426397E-2</v>
      </c>
    </row>
    <row r="38" spans="1:5">
      <c r="A38" s="113">
        <v>45047</v>
      </c>
      <c r="B38" s="114">
        <v>18534.400000000001</v>
      </c>
      <c r="C38" s="114">
        <v>2176.3000000000002</v>
      </c>
      <c r="D38" s="115">
        <f t="shared" si="0"/>
        <v>2.5983946858566368E-2</v>
      </c>
      <c r="E38" s="115">
        <f t="shared" si="1"/>
        <v>9.8503394493097488E-2</v>
      </c>
    </row>
    <row r="39" spans="1:5">
      <c r="A39" s="113">
        <v>45078</v>
      </c>
      <c r="B39" s="114">
        <v>19189.05</v>
      </c>
      <c r="C39" s="114">
        <v>2248.4</v>
      </c>
      <c r="D39" s="115">
        <f t="shared" si="0"/>
        <v>3.5320808874309273E-2</v>
      </c>
      <c r="E39" s="115">
        <f t="shared" si="1"/>
        <v>3.3129623673206772E-2</v>
      </c>
    </row>
    <row r="40" spans="1:5">
      <c r="A40" s="113">
        <v>45108</v>
      </c>
      <c r="B40" s="114">
        <v>19753.8</v>
      </c>
      <c r="C40" s="114">
        <v>2539.4499999999998</v>
      </c>
      <c r="D40" s="115">
        <f t="shared" si="0"/>
        <v>2.9430847280089427E-2</v>
      </c>
      <c r="E40" s="115">
        <f t="shared" si="1"/>
        <v>0.12944760718733309</v>
      </c>
    </row>
    <row r="41" spans="1:5">
      <c r="A41" s="113">
        <v>45139</v>
      </c>
      <c r="B41" s="114">
        <v>19253.8</v>
      </c>
      <c r="C41" s="114">
        <v>3159.25</v>
      </c>
      <c r="D41" s="115">
        <f t="shared" si="0"/>
        <v>-2.5311585618969516E-2</v>
      </c>
      <c r="E41" s="115">
        <f t="shared" si="1"/>
        <v>0.24406859753096152</v>
      </c>
    </row>
    <row r="42" spans="1:5">
      <c r="A42" s="113">
        <v>45170</v>
      </c>
      <c r="B42" s="114">
        <v>19638.3</v>
      </c>
      <c r="C42" s="114">
        <v>3185.1</v>
      </c>
      <c r="D42" s="115">
        <f t="shared" si="0"/>
        <v>1.9970083827608058E-2</v>
      </c>
      <c r="E42" s="115">
        <f t="shared" si="1"/>
        <v>8.1823217535807267E-3</v>
      </c>
    </row>
    <row r="43" spans="1:5">
      <c r="A43" s="113">
        <v>45200</v>
      </c>
      <c r="B43" s="114">
        <v>19079.599999999999</v>
      </c>
      <c r="C43" s="114">
        <v>3132.5</v>
      </c>
      <c r="D43" s="115">
        <f t="shared" si="0"/>
        <v>-2.8449509377084611E-2</v>
      </c>
      <c r="E43" s="115">
        <f t="shared" si="1"/>
        <v>-1.6514395152428467E-2</v>
      </c>
    </row>
    <row r="44" spans="1:5">
      <c r="A44" s="113">
        <v>45231</v>
      </c>
      <c r="B44" s="114">
        <v>20133.150000000001</v>
      </c>
      <c r="C44" s="114">
        <v>3150.3</v>
      </c>
      <c r="D44" s="115">
        <f t="shared" si="0"/>
        <v>5.5218662865049742E-2</v>
      </c>
      <c r="E44" s="115">
        <f t="shared" si="1"/>
        <v>5.6823623304070809E-3</v>
      </c>
    </row>
    <row r="45" spans="1:5">
      <c r="A45" s="113">
        <v>45261</v>
      </c>
      <c r="B45" s="114">
        <v>21731.4</v>
      </c>
      <c r="C45" s="114">
        <v>2983.1</v>
      </c>
      <c r="D45" s="115">
        <f t="shared" si="0"/>
        <v>7.9384001013254255E-2</v>
      </c>
      <c r="E45" s="115">
        <f t="shared" si="1"/>
        <v>-5.3074310383138194E-2</v>
      </c>
    </row>
    <row r="46" spans="1:5">
      <c r="A46" s="113">
        <v>45292</v>
      </c>
      <c r="B46" s="114">
        <v>21725.7</v>
      </c>
      <c r="C46" s="114">
        <v>2983.6</v>
      </c>
      <c r="D46" s="115">
        <f t="shared" si="0"/>
        <v>-2.6229327148737439E-4</v>
      </c>
      <c r="E46" s="115">
        <f t="shared" si="1"/>
        <v>1.6761087459354364E-4</v>
      </c>
    </row>
    <row r="47" spans="1:5">
      <c r="A47" s="113">
        <v>45323</v>
      </c>
      <c r="B47" s="114">
        <v>21982.799999999999</v>
      </c>
      <c r="C47" s="114">
        <v>2856.45</v>
      </c>
      <c r="D47" s="115">
        <f t="shared" si="0"/>
        <v>1.1833910990209685E-2</v>
      </c>
      <c r="E47" s="115">
        <f t="shared" si="1"/>
        <v>-4.2616302453412018E-2</v>
      </c>
    </row>
    <row r="48" spans="1:5">
      <c r="A48" s="113">
        <v>45352</v>
      </c>
      <c r="B48" s="114">
        <v>22326.9</v>
      </c>
      <c r="C48" s="114">
        <v>2777.3</v>
      </c>
      <c r="D48" s="115">
        <f t="shared" si="0"/>
        <v>1.5653147005841032E-2</v>
      </c>
      <c r="E48" s="115">
        <f t="shared" si="1"/>
        <v>-2.7709219485725162E-2</v>
      </c>
    </row>
    <row r="49" spans="1:5">
      <c r="A49" s="113">
        <v>45383</v>
      </c>
      <c r="B49" s="114">
        <v>22604.85</v>
      </c>
      <c r="C49" s="114">
        <v>3358.55</v>
      </c>
      <c r="D49" s="115">
        <f t="shared" si="0"/>
        <v>1.2449108474530592E-2</v>
      </c>
      <c r="E49" s="115">
        <f t="shared" si="1"/>
        <v>0.20928599719151691</v>
      </c>
    </row>
    <row r="50" spans="1:5">
      <c r="A50" s="113">
        <v>45413</v>
      </c>
      <c r="B50" s="114">
        <v>22530.7</v>
      </c>
      <c r="C50" s="114">
        <v>3808</v>
      </c>
      <c r="D50" s="115">
        <f t="shared" si="0"/>
        <v>-3.2802694996869179E-3</v>
      </c>
      <c r="E50" s="115">
        <f t="shared" si="1"/>
        <v>0.13382263179050477</v>
      </c>
    </row>
    <row r="51" spans="1:5">
      <c r="A51" s="113">
        <v>45444</v>
      </c>
      <c r="B51" s="114">
        <v>24010.6</v>
      </c>
      <c r="C51" s="114">
        <v>4146.5</v>
      </c>
      <c r="D51" s="115">
        <f t="shared" si="0"/>
        <v>6.5683711558007424E-2</v>
      </c>
      <c r="E51" s="115">
        <f t="shared" si="1"/>
        <v>8.8891806722689079E-2</v>
      </c>
    </row>
    <row r="52" spans="1:5">
      <c r="A52" s="113">
        <v>45474</v>
      </c>
      <c r="B52" s="114">
        <v>24951.15</v>
      </c>
      <c r="C52" s="114">
        <v>4173.3999999999996</v>
      </c>
      <c r="D52" s="115">
        <f t="shared" si="0"/>
        <v>3.9172282242009901E-2</v>
      </c>
      <c r="E52" s="115">
        <f t="shared" si="1"/>
        <v>6.4873990112141898E-3</v>
      </c>
    </row>
    <row r="53" spans="1:5">
      <c r="A53" s="113">
        <v>45505</v>
      </c>
      <c r="B53" s="114">
        <v>25235.9</v>
      </c>
      <c r="C53" s="114">
        <v>3853.9</v>
      </c>
      <c r="D53" s="115">
        <f t="shared" si="0"/>
        <v>1.1412299633483827E-2</v>
      </c>
      <c r="E53" s="115">
        <f t="shared" si="1"/>
        <v>-7.6556285043369809E-2</v>
      </c>
    </row>
    <row r="54" spans="1:5">
      <c r="A54" s="113">
        <v>45536</v>
      </c>
      <c r="B54" s="114">
        <v>25810.85</v>
      </c>
      <c r="C54" s="114">
        <v>4268.8</v>
      </c>
      <c r="D54" s="115">
        <f t="shared" si="0"/>
        <v>2.2783019428670944E-2</v>
      </c>
      <c r="E54" s="115">
        <f t="shared" si="1"/>
        <v>0.10765717844261659</v>
      </c>
    </row>
    <row r="55" spans="1:5">
      <c r="A55" s="113">
        <v>45566</v>
      </c>
      <c r="B55" s="114">
        <v>24205.35</v>
      </c>
      <c r="C55" s="114">
        <v>3745.1</v>
      </c>
      <c r="D55" s="115">
        <f t="shared" si="0"/>
        <v>-6.2202523357425273E-2</v>
      </c>
      <c r="E55" s="115">
        <f t="shared" si="1"/>
        <v>-0.12268084707646183</v>
      </c>
    </row>
    <row r="56" spans="1:5">
      <c r="A56" s="113">
        <v>45597</v>
      </c>
      <c r="B56" s="114">
        <v>24131.1</v>
      </c>
      <c r="C56" s="114">
        <v>3553.9</v>
      </c>
      <c r="D56" s="115">
        <f t="shared" si="0"/>
        <v>-3.0675036717089407E-3</v>
      </c>
      <c r="E56" s="115">
        <f t="shared" si="1"/>
        <v>-5.1053376411844764E-2</v>
      </c>
    </row>
    <row r="57" spans="1:5">
      <c r="A57" s="113">
        <v>45627</v>
      </c>
      <c r="B57" s="114">
        <v>23644.799999999999</v>
      </c>
      <c r="C57" s="114">
        <v>3332.55</v>
      </c>
      <c r="D57" s="115">
        <f t="shared" si="0"/>
        <v>-2.0152417419844072E-2</v>
      </c>
      <c r="E57" s="115">
        <f t="shared" si="1"/>
        <v>-6.2283688342384395E-2</v>
      </c>
    </row>
    <row r="58" spans="1:5">
      <c r="A58" s="113">
        <v>45658</v>
      </c>
      <c r="B58" s="114">
        <v>23508.400000000001</v>
      </c>
      <c r="C58" s="114">
        <v>3623.45</v>
      </c>
      <c r="D58" s="115">
        <f t="shared" si="0"/>
        <v>-5.7687102449586304E-3</v>
      </c>
      <c r="E58" s="115">
        <f t="shared" si="1"/>
        <v>8.7290513270618486E-2</v>
      </c>
    </row>
    <row r="59" spans="1:5">
      <c r="A59" s="113">
        <v>45689</v>
      </c>
      <c r="B59" s="114">
        <v>22124.7</v>
      </c>
      <c r="C59" s="114">
        <v>2868.95</v>
      </c>
      <c r="D59" s="115">
        <f t="shared" si="0"/>
        <v>-5.8859811811948097E-2</v>
      </c>
      <c r="E59" s="115">
        <f t="shared" si="1"/>
        <v>-0.20822696601305388</v>
      </c>
    </row>
    <row r="60" spans="1:5">
      <c r="A60" s="113">
        <v>45717</v>
      </c>
      <c r="B60" s="114">
        <v>23519.35</v>
      </c>
      <c r="C60" s="114">
        <v>3250.05</v>
      </c>
      <c r="D60" s="115">
        <f t="shared" si="0"/>
        <v>6.3035882972424379E-2</v>
      </c>
      <c r="E60" s="115">
        <f t="shared" si="1"/>
        <v>0.13283605500270146</v>
      </c>
    </row>
    <row r="61" spans="1:5">
      <c r="A61" s="113">
        <v>45748</v>
      </c>
      <c r="B61" s="114">
        <v>24334.2</v>
      </c>
      <c r="C61" s="114">
        <v>3259</v>
      </c>
      <c r="D61" s="115">
        <f t="shared" si="0"/>
        <v>3.4645940470293707E-2</v>
      </c>
      <c r="E61" s="115">
        <f t="shared" si="1"/>
        <v>2.7538037876339802E-3</v>
      </c>
    </row>
    <row r="62" spans="1:5">
      <c r="A62" s="113">
        <v>45778</v>
      </c>
      <c r="B62" s="114">
        <v>24750.7</v>
      </c>
      <c r="C62" s="114">
        <v>3321.7</v>
      </c>
      <c r="D62" s="115">
        <f t="shared" si="0"/>
        <v>1.7115828751304747E-2</v>
      </c>
      <c r="E62" s="115">
        <f t="shared" si="1"/>
        <v>1.9239030377416328E-2</v>
      </c>
    </row>
    <row r="65" spans="3:5">
      <c r="C65" s="104" t="s">
        <v>288</v>
      </c>
      <c r="D65" s="116">
        <f>SLOPE(E3:E62,D3:D62)</f>
        <v>0.86663737235726113</v>
      </c>
    </row>
    <row r="66" spans="3:5">
      <c r="C66" s="104" t="s">
        <v>296</v>
      </c>
      <c r="D66" s="116">
        <f>INTERCEPT(E3:E62,D3:D62)</f>
        <v>1.2100659176891055E-2</v>
      </c>
    </row>
    <row r="67" spans="3:5">
      <c r="C67" s="104" t="s">
        <v>289</v>
      </c>
      <c r="D67" s="116">
        <f>RSQ(E3:E62,D3:D62)</f>
        <v>0.12492566095047779</v>
      </c>
    </row>
    <row r="68" spans="3:5">
      <c r="C68" s="104" t="s">
        <v>290</v>
      </c>
      <c r="D68" s="116">
        <f>CORREL(E3:E62,D3:D62)</f>
        <v>0.35344824366585526</v>
      </c>
      <c r="E68" s="104">
        <f>SQRT(D67)</f>
        <v>0.35344824366585526</v>
      </c>
    </row>
    <row r="69" spans="3:5">
      <c r="C69" s="104" t="s">
        <v>291</v>
      </c>
      <c r="D69" s="116">
        <f>STEYX(E3:E62,D3:D62)/(_xlfn.STDEV.S(D3:D62)*SQRT(COUNT(D3:D62)-1))</f>
        <v>0.30117579331160277</v>
      </c>
    </row>
    <row r="70" spans="3:5">
      <c r="C70" s="104" t="s">
        <v>292</v>
      </c>
      <c r="D70" s="116">
        <f>_xlfn.VAR.S(D3:D62)</f>
        <v>1.6071346536462383E-3</v>
      </c>
    </row>
    <row r="71" spans="3:5">
      <c r="C71" s="104" t="s">
        <v>293</v>
      </c>
      <c r="D71" s="116">
        <f>_xlfn.COVARIANCE.S(E3:E62,D3:D62)</f>
        <v>1.3928029532602724E-3</v>
      </c>
    </row>
    <row r="72" spans="3:5">
      <c r="C72" s="104" t="s">
        <v>294</v>
      </c>
      <c r="D72" s="116">
        <f>D71/D70</f>
        <v>0.86663737235726079</v>
      </c>
    </row>
    <row r="73" spans="3:5">
      <c r="C73" s="104" t="s">
        <v>295</v>
      </c>
      <c r="D73" s="116">
        <f>(0.67*D65)+(0.33*1)</f>
        <v>0.91064703947936509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DD81-41A7-4C1A-B438-086165115297}">
  <sheetPr>
    <tabColor rgb="FF92D050"/>
  </sheetPr>
  <dimension ref="A2:M39"/>
  <sheetViews>
    <sheetView showGridLines="0" zoomScale="73" zoomScaleNormal="100" workbookViewId="0">
      <pane ySplit="2" topLeftCell="A18" activePane="bottomLeft" state="frozen"/>
      <selection pane="bottomLeft" activeCell="E31" sqref="E31"/>
    </sheetView>
  </sheetViews>
  <sheetFormatPr defaultRowHeight="14.5"/>
  <cols>
    <col min="1" max="1" width="1.90625" customWidth="1"/>
    <col min="2" max="2" width="16.90625" customWidth="1"/>
    <col min="3" max="3" width="11.6328125" customWidth="1"/>
    <col min="4" max="4" width="9.54296875" bestFit="1" customWidth="1"/>
    <col min="5" max="5" width="10.6328125" customWidth="1"/>
    <col min="6" max="6" width="9.1796875" bestFit="1" customWidth="1"/>
    <col min="7" max="7" width="10.36328125" customWidth="1"/>
    <col min="8" max="8" width="10.90625" customWidth="1"/>
    <col min="9" max="9" width="9.1796875" customWidth="1"/>
    <col min="10" max="10" width="9.81640625" bestFit="1" customWidth="1"/>
    <col min="11" max="11" width="9.54296875" bestFit="1" customWidth="1"/>
  </cols>
  <sheetData>
    <row r="2" spans="2:13" ht="15.5">
      <c r="B2" s="89" t="s">
        <v>238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4" spans="2:13">
      <c r="B4" s="90" t="s">
        <v>239</v>
      </c>
    </row>
    <row r="6" spans="2:13">
      <c r="B6" t="s">
        <v>240</v>
      </c>
    </row>
    <row r="7" spans="2:13">
      <c r="B7" s="91"/>
      <c r="C7" s="91"/>
      <c r="D7" s="91"/>
      <c r="E7" s="91"/>
      <c r="F7" s="91"/>
      <c r="G7" s="91" t="s">
        <v>244</v>
      </c>
      <c r="H7" s="91" t="s">
        <v>244</v>
      </c>
      <c r="I7" s="91" t="s">
        <v>247</v>
      </c>
      <c r="J7" s="91" t="s">
        <v>248</v>
      </c>
    </row>
    <row r="8" spans="2:13" ht="15">
      <c r="B8" s="92" t="s">
        <v>251</v>
      </c>
      <c r="C8" s="92" t="s">
        <v>252</v>
      </c>
      <c r="D8" s="92" t="s">
        <v>241</v>
      </c>
      <c r="E8" s="92" t="s">
        <v>242</v>
      </c>
      <c r="F8" s="92" t="s">
        <v>243</v>
      </c>
      <c r="G8" s="93" t="s">
        <v>245</v>
      </c>
      <c r="H8" s="93" t="s">
        <v>246</v>
      </c>
      <c r="I8" s="93" t="s">
        <v>249</v>
      </c>
      <c r="J8" s="93" t="s">
        <v>250</v>
      </c>
      <c r="K8" s="94"/>
    </row>
    <row r="9" spans="2:13">
      <c r="G9" s="94"/>
      <c r="H9" s="94"/>
      <c r="I9" s="94"/>
      <c r="J9" s="94"/>
      <c r="K9" s="94"/>
    </row>
    <row r="10" spans="2:13">
      <c r="B10" t="s">
        <v>278</v>
      </c>
      <c r="C10" t="s">
        <v>253</v>
      </c>
      <c r="D10" s="95">
        <v>0.01</v>
      </c>
      <c r="E10" s="95">
        <v>4528</v>
      </c>
      <c r="F10" s="103">
        <v>0.25169999999999998</v>
      </c>
      <c r="G10" s="96">
        <f>D10/E10</f>
        <v>2.2084805653710248E-6</v>
      </c>
      <c r="H10" s="96">
        <f>D10/(D10+E10)</f>
        <v>2.2084756879953888E-6</v>
      </c>
      <c r="I10" s="117">
        <v>0.45</v>
      </c>
      <c r="J10" s="97">
        <f>I10/(1+(1-F10)*G10)</f>
        <v>0.44999925632852578</v>
      </c>
    </row>
    <row r="11" spans="2:13">
      <c r="B11" t="s">
        <v>279</v>
      </c>
      <c r="C11" t="s">
        <v>253</v>
      </c>
      <c r="D11">
        <v>4000</v>
      </c>
      <c r="E11" s="95">
        <v>359600</v>
      </c>
      <c r="F11" s="103">
        <v>0.25169999999999998</v>
      </c>
      <c r="G11" s="96">
        <f>D11/E11</f>
        <v>1.1123470522803115E-2</v>
      </c>
      <c r="H11" s="96">
        <f>D11/(D11+E11)</f>
        <v>1.1001100110011002E-2</v>
      </c>
      <c r="I11" s="117">
        <v>0.28999999999999998</v>
      </c>
      <c r="J11" s="97">
        <f t="shared" ref="J11:J14" si="0">I11/(1+(1-F11)*G11)</f>
        <v>0.28760605549138818</v>
      </c>
    </row>
    <row r="12" spans="2:13">
      <c r="B12" t="s">
        <v>280</v>
      </c>
      <c r="C12" t="s">
        <v>253</v>
      </c>
      <c r="D12" s="95">
        <v>164.37</v>
      </c>
      <c r="E12" s="95">
        <v>14280</v>
      </c>
      <c r="F12" s="103">
        <v>0.25169999999999998</v>
      </c>
      <c r="G12" s="96">
        <f>D12/E12</f>
        <v>1.1510504201680673E-2</v>
      </c>
      <c r="H12" s="96">
        <f>D12/(D12+E12)</f>
        <v>1.1379520186757886E-2</v>
      </c>
      <c r="I12" s="117">
        <v>0.2</v>
      </c>
      <c r="J12" s="97">
        <f t="shared" si="0"/>
        <v>0.1982920490526531</v>
      </c>
    </row>
    <row r="13" spans="2:13">
      <c r="B13" t="s">
        <v>281</v>
      </c>
      <c r="C13" t="s">
        <v>253</v>
      </c>
      <c r="D13" s="95">
        <v>0.01</v>
      </c>
      <c r="E13" s="95">
        <v>4914</v>
      </c>
      <c r="F13" s="103">
        <v>0.25169999999999998</v>
      </c>
      <c r="G13" s="96">
        <f>D13/E13</f>
        <v>2.0350020350020349E-6</v>
      </c>
      <c r="H13" s="96">
        <f>D13/(D13+E13)</f>
        <v>2.0349978937771797E-6</v>
      </c>
      <c r="I13" s="117">
        <v>0.7</v>
      </c>
      <c r="J13" s="97">
        <f t="shared" si="0"/>
        <v>0.69999893404720726</v>
      </c>
    </row>
    <row r="14" spans="2:13">
      <c r="B14" t="s">
        <v>282</v>
      </c>
      <c r="C14" t="s">
        <v>253</v>
      </c>
      <c r="D14" s="95">
        <v>500</v>
      </c>
      <c r="E14" s="95">
        <v>13200</v>
      </c>
      <c r="F14" s="103">
        <v>0.25169999999999998</v>
      </c>
      <c r="G14" s="96">
        <f>D14/E14</f>
        <v>3.787878787878788E-2</v>
      </c>
      <c r="H14" s="96">
        <f>D14/(D14+E14)</f>
        <v>3.6496350364963501E-2</v>
      </c>
      <c r="I14" s="117">
        <v>0.5</v>
      </c>
      <c r="J14" s="97">
        <f t="shared" si="0"/>
        <v>0.48621828991133881</v>
      </c>
    </row>
    <row r="16" spans="2:13">
      <c r="E16" s="91" t="s">
        <v>254</v>
      </c>
      <c r="F16" s="98">
        <f>AVERAGE(F10:F14)</f>
        <v>0.25169999999999998</v>
      </c>
      <c r="G16" s="98">
        <f t="shared" ref="G16:I16" si="1">AVERAGE(G10:G14)</f>
        <v>1.2103401217174408E-2</v>
      </c>
      <c r="H16" s="98">
        <f t="shared" si="1"/>
        <v>1.1776242827062832E-2</v>
      </c>
      <c r="I16" s="100">
        <f t="shared" si="1"/>
        <v>0.42799999999999994</v>
      </c>
      <c r="J16" s="100">
        <f>AVERAGE(J10:J14)</f>
        <v>0.42442291696622264</v>
      </c>
    </row>
    <row r="17" spans="1:13">
      <c r="E17" s="92" t="s">
        <v>255</v>
      </c>
      <c r="F17" s="99">
        <f>MEDIAN(F10:F14)</f>
        <v>0.25169999999999998</v>
      </c>
      <c r="G17" s="99">
        <f t="shared" ref="G17:J17" si="2">MEDIAN(G10:G14)</f>
        <v>1.1123470522803115E-2</v>
      </c>
      <c r="H17" s="99">
        <f t="shared" si="2"/>
        <v>1.1001100110011002E-2</v>
      </c>
      <c r="I17" s="101">
        <f t="shared" si="2"/>
        <v>0.45</v>
      </c>
      <c r="J17" s="101">
        <f t="shared" si="2"/>
        <v>0.44999925632852578</v>
      </c>
    </row>
    <row r="20" spans="1:13">
      <c r="B20" s="102" t="s">
        <v>256</v>
      </c>
      <c r="C20" s="92"/>
      <c r="D20" s="92"/>
      <c r="E20" s="92"/>
      <c r="G20" s="102" t="s">
        <v>260</v>
      </c>
      <c r="H20" s="92"/>
      <c r="I20" s="92"/>
      <c r="J20" s="92"/>
      <c r="K20" s="92"/>
    </row>
    <row r="22" spans="1:13">
      <c r="B22" t="s">
        <v>257</v>
      </c>
      <c r="E22" s="103">
        <v>8.5000000000000006E-2</v>
      </c>
      <c r="G22" t="s">
        <v>261</v>
      </c>
      <c r="K22" s="103">
        <v>6.2199999999999998E-2</v>
      </c>
    </row>
    <row r="23" spans="1:13">
      <c r="A23" s="92"/>
      <c r="B23" s="92" t="s">
        <v>258</v>
      </c>
      <c r="C23" s="92"/>
      <c r="D23" s="92"/>
      <c r="E23" s="111">
        <v>0.25169999999999998</v>
      </c>
      <c r="G23" t="s">
        <v>262</v>
      </c>
      <c r="K23" s="103">
        <v>0.08</v>
      </c>
    </row>
    <row r="24" spans="1:13" ht="15">
      <c r="B24" s="2" t="s">
        <v>259</v>
      </c>
      <c r="E24" s="5">
        <f>E22*(1-E23)</f>
        <v>6.3605499999999995E-2</v>
      </c>
      <c r="G24" s="92" t="s">
        <v>263</v>
      </c>
      <c r="H24" s="92"/>
      <c r="I24" s="92"/>
      <c r="J24" s="92"/>
      <c r="K24" s="101">
        <f>K33</f>
        <v>0.45104712458621732</v>
      </c>
    </row>
    <row r="25" spans="1:13">
      <c r="G25" s="2" t="s">
        <v>264</v>
      </c>
      <c r="K25" s="16">
        <f>K22+(K23*BETA!D73)</f>
        <v>0.13505176315834921</v>
      </c>
    </row>
    <row r="28" spans="1:13">
      <c r="B28" s="102" t="s">
        <v>265</v>
      </c>
      <c r="C28" s="92"/>
      <c r="D28" s="92"/>
      <c r="E28" s="92"/>
      <c r="G28" s="102" t="s">
        <v>269</v>
      </c>
      <c r="H28" s="92"/>
      <c r="I28" s="92"/>
      <c r="J28" s="92"/>
      <c r="K28" s="92"/>
      <c r="L28" s="92"/>
      <c r="M28" s="92"/>
    </row>
    <row r="30" spans="1:13">
      <c r="D30" s="102" t="s">
        <v>266</v>
      </c>
      <c r="E30" s="102" t="s">
        <v>267</v>
      </c>
      <c r="G30" t="s">
        <v>270</v>
      </c>
      <c r="K30" s="106">
        <f>I17</f>
        <v>0.45</v>
      </c>
    </row>
    <row r="31" spans="1:13">
      <c r="B31" t="s">
        <v>241</v>
      </c>
      <c r="C31" s="107">
        <v>105.58</v>
      </c>
      <c r="D31" s="5">
        <f>C31/$C$33</f>
        <v>2.8464067282821968E-3</v>
      </c>
      <c r="E31" s="103">
        <v>3.0999999999999999E-3</v>
      </c>
      <c r="G31" t="s">
        <v>271</v>
      </c>
      <c r="K31" s="112">
        <f>E35</f>
        <v>3.1096398836392815E-3</v>
      </c>
    </row>
    <row r="32" spans="1:13">
      <c r="B32" s="92" t="s">
        <v>79</v>
      </c>
      <c r="C32" s="108">
        <f>'Data Sheet'!B9</f>
        <v>36986.800000000003</v>
      </c>
      <c r="D32" s="99">
        <f t="shared" ref="D32:D33" si="3">C32/$C$33</f>
        <v>0.99715359327171771</v>
      </c>
      <c r="E32" s="99">
        <f>E33-E31</f>
        <v>0.99690000000000001</v>
      </c>
      <c r="G32" s="92" t="s">
        <v>272</v>
      </c>
      <c r="H32" s="92"/>
      <c r="I32" s="92"/>
      <c r="J32" s="92"/>
      <c r="K32" s="99">
        <f>E23</f>
        <v>0.25169999999999998</v>
      </c>
      <c r="L32" s="92"/>
      <c r="M32" s="92"/>
    </row>
    <row r="33" spans="2:13">
      <c r="B33" s="2" t="s">
        <v>268</v>
      </c>
      <c r="C33" s="104">
        <f>C31+C32</f>
        <v>37092.380000000005</v>
      </c>
      <c r="D33" s="5">
        <f t="shared" si="3"/>
        <v>1</v>
      </c>
      <c r="E33" s="105">
        <v>1</v>
      </c>
      <c r="G33" s="2" t="s">
        <v>269</v>
      </c>
      <c r="K33" s="106">
        <f>K30*(1+(1-K32)*K31)</f>
        <v>0.45104712458621732</v>
      </c>
    </row>
    <row r="35" spans="2:13">
      <c r="B35" t="s">
        <v>273</v>
      </c>
      <c r="D35" s="109">
        <f>D31/D32</f>
        <v>2.8545318870515967E-3</v>
      </c>
      <c r="E35" s="109">
        <f>E31/E32</f>
        <v>3.1096398836392815E-3</v>
      </c>
      <c r="G35" s="102" t="s">
        <v>274</v>
      </c>
      <c r="H35" s="92"/>
      <c r="I35" s="92"/>
      <c r="J35" s="92"/>
      <c r="K35" s="92"/>
      <c r="L35" s="92"/>
      <c r="M35" s="92"/>
    </row>
    <row r="36" spans="2:13">
      <c r="K36" s="110" t="s">
        <v>276</v>
      </c>
      <c r="L36" s="110" t="s">
        <v>277</v>
      </c>
      <c r="M36" s="110"/>
    </row>
    <row r="37" spans="2:13">
      <c r="G37" t="s">
        <v>275</v>
      </c>
      <c r="K37" s="5">
        <f>E24</f>
        <v>6.3605499999999995E-2</v>
      </c>
      <c r="L37" s="5">
        <f>E31</f>
        <v>3.0999999999999999E-3</v>
      </c>
    </row>
    <row r="38" spans="2:13">
      <c r="G38" s="92" t="s">
        <v>245</v>
      </c>
      <c r="H38" s="92"/>
      <c r="I38" s="92"/>
      <c r="J38" s="92"/>
      <c r="K38" s="99">
        <f>K25</f>
        <v>0.13505176315834921</v>
      </c>
      <c r="L38" s="99">
        <f>E32</f>
        <v>0.99690000000000001</v>
      </c>
      <c r="M38" s="92"/>
    </row>
    <row r="39" spans="2:13">
      <c r="G39" s="2" t="s">
        <v>274</v>
      </c>
      <c r="L39" s="16">
        <f>SUMPRODUCT(K37:K38,L37:L38)</f>
        <v>0.13483027974255832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7FAD-90B7-4EFB-B658-96017CB34278}">
  <sheetPr>
    <tabColor rgb="FF92D050"/>
  </sheetPr>
  <dimension ref="A1:J19"/>
  <sheetViews>
    <sheetView showGridLines="0" zoomScale="57" zoomScaleNormal="79" workbookViewId="0">
      <pane xSplit="1" topLeftCell="B1" activePane="topRight" state="frozen"/>
      <selection pane="topRight" activeCell="J9" sqref="J9"/>
    </sheetView>
  </sheetViews>
  <sheetFormatPr defaultRowHeight="14.5"/>
  <cols>
    <col min="1" max="1" width="15.7265625" style="120" bestFit="1" customWidth="1"/>
    <col min="2" max="2" width="11.26953125" style="120" bestFit="1" customWidth="1"/>
    <col min="3" max="3" width="25.08984375" style="120" bestFit="1" customWidth="1"/>
    <col min="4" max="4" width="21.6328125" style="120" bestFit="1" customWidth="1"/>
    <col min="5" max="5" width="18.453125" style="120" bestFit="1" customWidth="1"/>
    <col min="6" max="6" width="26.7265625" style="120" bestFit="1" customWidth="1"/>
    <col min="7" max="7" width="22.90625" style="120" bestFit="1" customWidth="1"/>
    <col min="8" max="8" width="20.1796875" style="120" bestFit="1" customWidth="1"/>
    <col min="9" max="9" width="13" style="120" bestFit="1" customWidth="1"/>
    <col min="10" max="10" width="57" style="124" bestFit="1" customWidth="1"/>
    <col min="11" max="16384" width="8.7265625" style="120"/>
  </cols>
  <sheetData>
    <row r="1" spans="1:10">
      <c r="A1" s="174" t="s">
        <v>297</v>
      </c>
      <c r="B1" s="173" t="s">
        <v>298</v>
      </c>
      <c r="C1" s="173" t="s">
        <v>299</v>
      </c>
      <c r="D1" s="175" t="s">
        <v>300</v>
      </c>
      <c r="E1" s="173" t="s">
        <v>301</v>
      </c>
      <c r="F1" s="173" t="s">
        <v>302</v>
      </c>
      <c r="G1" s="175" t="s">
        <v>303</v>
      </c>
      <c r="H1" s="173" t="s">
        <v>304</v>
      </c>
      <c r="I1" s="173" t="s">
        <v>305</v>
      </c>
      <c r="J1" s="174" t="s">
        <v>306</v>
      </c>
    </row>
    <row r="2" spans="1:10">
      <c r="A2" s="174"/>
      <c r="B2" s="173"/>
      <c r="C2" s="173"/>
      <c r="D2" s="175"/>
      <c r="E2" s="173"/>
      <c r="F2" s="173"/>
      <c r="G2" s="175"/>
      <c r="H2" s="173"/>
      <c r="I2" s="173"/>
      <c r="J2" s="174"/>
    </row>
    <row r="3" spans="1:10" ht="45" customHeight="1">
      <c r="A3" s="121" t="s">
        <v>6</v>
      </c>
      <c r="B3" s="122">
        <f>'Profit &amp; Loss'!K4</f>
        <v>10243.879999999999</v>
      </c>
      <c r="C3" s="122">
        <f>'Profit &amp; Loss'!M4</f>
        <v>11477.734212226605</v>
      </c>
      <c r="D3" s="122">
        <f>B3-C3</f>
        <v>-1233.8542122266063</v>
      </c>
      <c r="E3" s="159">
        <f>(B3-C3)/ABS(C3)</f>
        <v>-0.10749980696645237</v>
      </c>
      <c r="F3" s="122">
        <f>'Profit &amp; Loss'!N4</f>
        <v>10714.931857187008</v>
      </c>
      <c r="G3" s="123">
        <f>(B3-C3)/ABS(C3)</f>
        <v>-0.10749980696645237</v>
      </c>
      <c r="H3" s="159">
        <f>(B3-F3)/ABS(F3)</f>
        <v>-4.3962188790874324E-2</v>
      </c>
      <c r="I3" s="123" t="str">
        <f>IF(D3&gt;0,"Favourable",IF(D3&lt;0,"Unfavourable","Nil"))</f>
        <v>Unfavourable</v>
      </c>
      <c r="J3" s="125" t="s">
        <v>307</v>
      </c>
    </row>
    <row r="4" spans="1:10" ht="45" customHeight="1">
      <c r="A4" s="121" t="s">
        <v>7</v>
      </c>
      <c r="B4" s="122">
        <f>'Profit &amp; Loss'!K5</f>
        <v>9079.69</v>
      </c>
      <c r="C4" s="122">
        <f>'Profit &amp; Loss'!M5</f>
        <v>10146.230199015356</v>
      </c>
      <c r="D4" s="122">
        <f>B4-C4</f>
        <v>-1066.540199015355</v>
      </c>
      <c r="E4" s="159">
        <f t="shared" ref="E4:E12" si="0">(B4-C4)/ABS(C4)</f>
        <v>-0.10511689347624478</v>
      </c>
      <c r="F4" s="122">
        <f>'Profit &amp; Loss'!N5</f>
        <v>9561.7925234588893</v>
      </c>
      <c r="G4" s="123">
        <f t="shared" ref="G4:G12" si="1">(B4-C4)/ABS(C4)</f>
        <v>-0.10511689347624478</v>
      </c>
      <c r="H4" s="159">
        <f t="shared" ref="H4:H12" si="2">(B4-F4)/ABS(F4)</f>
        <v>-5.0419680439216713E-2</v>
      </c>
      <c r="I4" s="123" t="str">
        <f>IF(D4&lt;0,"Favourable",IF(D4&gt;0,"Unfavourable","Nil"))</f>
        <v>Favourable</v>
      </c>
    </row>
    <row r="5" spans="1:10" ht="45" customHeight="1">
      <c r="A5" s="121" t="s">
        <v>8</v>
      </c>
      <c r="B5" s="122">
        <f>'Profit &amp; Loss'!K6</f>
        <v>1164.1899999999987</v>
      </c>
      <c r="C5" s="122">
        <f>'Profit &amp; Loss'!M6</f>
        <v>1331.5040132112497</v>
      </c>
      <c r="D5" s="122">
        <f t="shared" ref="D5:D12" si="3">B5-C5</f>
        <v>-167.31401321125099</v>
      </c>
      <c r="E5" s="159">
        <f t="shared" si="0"/>
        <v>-0.12565791131769258</v>
      </c>
      <c r="F5" s="122">
        <f>'Profit &amp; Loss'!N6</f>
        <v>1153.1393337281181</v>
      </c>
      <c r="G5" s="123">
        <f t="shared" si="1"/>
        <v>-0.12565791131769258</v>
      </c>
      <c r="H5" s="159">
        <f t="shared" si="2"/>
        <v>9.5831145020034911E-3</v>
      </c>
      <c r="I5" s="123" t="str">
        <f t="shared" ref="I5:I12" si="4">IF(D5&gt;0,"Favourable",IF(D5&lt;0,"Unfavourable","Nil"))</f>
        <v>Unfavourable</v>
      </c>
      <c r="J5" s="125" t="s">
        <v>308</v>
      </c>
    </row>
    <row r="6" spans="1:10" ht="45" customHeight="1">
      <c r="A6" s="121" t="s">
        <v>9</v>
      </c>
      <c r="B6" s="122">
        <f>'Profit &amp; Loss'!K7</f>
        <v>600.53</v>
      </c>
      <c r="C6" s="118">
        <f>'Profit &amp; Loss'!M7</f>
        <v>0</v>
      </c>
      <c r="D6" s="122">
        <f t="shared" si="3"/>
        <v>600.53</v>
      </c>
      <c r="E6" s="160" t="str">
        <f xml:space="preserve"> IFERROR((B6 - C6) / ABS(C6), "N/A-Not Forecasted")</f>
        <v>N/A-Not Forecasted</v>
      </c>
      <c r="F6" s="118">
        <f>'Profit &amp; Loss'!N7</f>
        <v>0</v>
      </c>
      <c r="G6" s="123" t="str">
        <f xml:space="preserve"> IFERROR((B6 - C6) / ABS(C6), "N/A - Not Forecasted")</f>
        <v>N/A - Not Forecasted</v>
      </c>
      <c r="H6" s="159" t="str">
        <f xml:space="preserve"> IFERROR((B6 - F6) / ABS(F6), "N/A - Not Forecasted")</f>
        <v>N/A - Not Forecasted</v>
      </c>
      <c r="I6" s="123" t="str">
        <f t="shared" si="4"/>
        <v>Favourable</v>
      </c>
      <c r="J6" s="125" t="s">
        <v>309</v>
      </c>
    </row>
    <row r="7" spans="1:10" ht="45" customHeight="1">
      <c r="A7" s="121" t="s">
        <v>10</v>
      </c>
      <c r="B7" s="122">
        <f>'Profit &amp; Loss'!K8</f>
        <v>243.65</v>
      </c>
      <c r="C7" s="122">
        <f>'Profit &amp; Loss'!M8</f>
        <v>246.20000000000002</v>
      </c>
      <c r="D7" s="122">
        <f t="shared" si="3"/>
        <v>-2.5500000000000114</v>
      </c>
      <c r="E7" s="159">
        <f t="shared" si="0"/>
        <v>-1.0357432981316049E-2</v>
      </c>
      <c r="F7" s="122">
        <f>'Profit &amp; Loss'!N8</f>
        <v>246.20000000000002</v>
      </c>
      <c r="G7" s="123">
        <f t="shared" si="1"/>
        <v>-1.0357432981316049E-2</v>
      </c>
      <c r="H7" s="159">
        <f t="shared" si="2"/>
        <v>-1.0357432981316049E-2</v>
      </c>
      <c r="I7" s="123" t="str">
        <f>IF(D7&lt;0,"Favourable",IF(D7&gt;0,"Unfavourable","Nil"))</f>
        <v>Favourable</v>
      </c>
    </row>
    <row r="8" spans="1:10" ht="45" customHeight="1">
      <c r="A8" s="121" t="s">
        <v>11</v>
      </c>
      <c r="B8" s="122">
        <f>'Profit &amp; Loss'!K9</f>
        <v>29.17</v>
      </c>
      <c r="C8" s="122">
        <f>'Profit &amp; Loss'!M9</f>
        <v>29.2</v>
      </c>
      <c r="D8" s="122">
        <f t="shared" si="3"/>
        <v>-2.9999999999997584E-2</v>
      </c>
      <c r="E8" s="159">
        <f t="shared" si="0"/>
        <v>-1.0273972602738899E-3</v>
      </c>
      <c r="F8" s="122">
        <f>'Profit &amp; Loss'!N9</f>
        <v>29.2</v>
      </c>
      <c r="G8" s="123">
        <f t="shared" si="1"/>
        <v>-1.0273972602738899E-3</v>
      </c>
      <c r="H8" s="159">
        <f t="shared" si="2"/>
        <v>-1.0273972602738899E-3</v>
      </c>
      <c r="I8" s="123" t="str">
        <f>IF(D8&lt;0,"Favourable",IF(D8&gt;0,"Unfavourable","Nil"))</f>
        <v>Favourable</v>
      </c>
    </row>
    <row r="9" spans="1:10" ht="45" customHeight="1">
      <c r="A9" s="121" t="s">
        <v>12</v>
      </c>
      <c r="B9" s="122">
        <f>'Profit &amp; Loss'!K10</f>
        <v>1491.9</v>
      </c>
      <c r="C9" s="122">
        <f>'Profit &amp; Loss'!M10</f>
        <v>1056.1040132112496</v>
      </c>
      <c r="D9" s="122">
        <f t="shared" si="3"/>
        <v>435.7959867887505</v>
      </c>
      <c r="E9" s="159">
        <f t="shared" si="0"/>
        <v>0.41264494911220401</v>
      </c>
      <c r="F9" s="122">
        <f>'Profit &amp; Loss'!N10</f>
        <v>877.73933372811803</v>
      </c>
      <c r="G9" s="123">
        <f t="shared" si="1"/>
        <v>0.41264494911220401</v>
      </c>
      <c r="H9" s="159">
        <f t="shared" si="2"/>
        <v>0.69970735350698077</v>
      </c>
      <c r="I9" s="123" t="str">
        <f t="shared" si="4"/>
        <v>Favourable</v>
      </c>
    </row>
    <row r="10" spans="1:10" ht="45" customHeight="1">
      <c r="A10" s="121" t="s">
        <v>13</v>
      </c>
      <c r="B10" s="122">
        <f>'Profit &amp; Loss'!K11</f>
        <v>226.95</v>
      </c>
      <c r="C10" s="119">
        <f>'Profit &amp; Loss'!M11</f>
        <v>0.15930056358996172</v>
      </c>
      <c r="D10" s="122">
        <f t="shared" si="3"/>
        <v>226.79069943641002</v>
      </c>
      <c r="E10" s="159">
        <f t="shared" si="0"/>
        <v>1423.6653927990319</v>
      </c>
      <c r="F10" s="119">
        <f>'Profit &amp; Loss'!N11</f>
        <v>0.15930056358996172</v>
      </c>
      <c r="G10" s="123">
        <f t="shared" si="1"/>
        <v>1423.6653927990319</v>
      </c>
      <c r="H10" s="159">
        <f t="shared" si="2"/>
        <v>1423.6653927990319</v>
      </c>
      <c r="I10" s="123" t="str">
        <f>IF(D10&lt;0,"Favourable",IF(D10&gt;0,"Unfavourable","Nil"))</f>
        <v>Unfavourable</v>
      </c>
    </row>
    <row r="11" spans="1:10" ht="45" customHeight="1">
      <c r="A11" s="121" t="s">
        <v>14</v>
      </c>
      <c r="B11" s="122">
        <f>'Profit &amp; Loss'!K12</f>
        <v>1264.94</v>
      </c>
      <c r="C11" s="122">
        <f>'Profit &amp; Loss'!M12</f>
        <v>887.86604869707719</v>
      </c>
      <c r="D11" s="122">
        <f t="shared" si="3"/>
        <v>377.07395130292286</v>
      </c>
      <c r="E11" s="159">
        <f t="shared" si="0"/>
        <v>0.42469689189745474</v>
      </c>
      <c r="F11" s="122">
        <f>'Profit &amp; Loss'!N12</f>
        <v>737.91496318015129</v>
      </c>
      <c r="G11" s="123">
        <f t="shared" si="1"/>
        <v>0.42469689189745474</v>
      </c>
      <c r="H11" s="159">
        <f t="shared" si="2"/>
        <v>0.71420836155504708</v>
      </c>
      <c r="I11" s="123" t="str">
        <f t="shared" si="4"/>
        <v>Favourable</v>
      </c>
      <c r="J11" s="125" t="s">
        <v>310</v>
      </c>
    </row>
    <row r="12" spans="1:10" ht="45" customHeight="1">
      <c r="A12" s="121" t="s">
        <v>57</v>
      </c>
      <c r="B12" s="122">
        <f>'Profit &amp; Loss'!K13</f>
        <v>113.04200178731011</v>
      </c>
      <c r="C12" s="122">
        <f>'Profit &amp; Loss'!M13</f>
        <v>79.36034360886957</v>
      </c>
      <c r="D12" s="122">
        <f t="shared" si="3"/>
        <v>33.681658178440543</v>
      </c>
      <c r="E12" s="159">
        <f t="shared" si="0"/>
        <v>0.42441421806893703</v>
      </c>
      <c r="F12" s="122">
        <f>'Profit &amp; Loss'!N13</f>
        <v>65.957229829927982</v>
      </c>
      <c r="G12" s="123">
        <f t="shared" si="1"/>
        <v>0.42441421806893703</v>
      </c>
      <c r="H12" s="159">
        <f t="shared" si="2"/>
        <v>0.7138682458130996</v>
      </c>
      <c r="I12" s="123" t="str">
        <f t="shared" si="4"/>
        <v>Favourable</v>
      </c>
    </row>
    <row r="14" spans="1:10">
      <c r="A14" s="121"/>
    </row>
    <row r="19" spans="6:6">
      <c r="F19" s="124"/>
    </row>
  </sheetData>
  <mergeCells count="10">
    <mergeCell ref="B1:B2"/>
    <mergeCell ref="A1:A2"/>
    <mergeCell ref="I1:I2"/>
    <mergeCell ref="J1:J2"/>
    <mergeCell ref="C1:C2"/>
    <mergeCell ref="D1:D2"/>
    <mergeCell ref="E1:E2"/>
    <mergeCell ref="F1:F2"/>
    <mergeCell ref="G1:G2"/>
    <mergeCell ref="H1:H2"/>
  </mergeCells>
  <conditionalFormatting sqref="I1:I1048576">
    <cfRule type="containsText" dxfId="10" priority="1" operator="containsText" text="unfavourable">
      <formula>NOT(ISERROR(SEARCH("unfavourable",I1)))</formula>
    </cfRule>
    <cfRule type="containsText" dxfId="9" priority="2" operator="containsText" text="Favourable">
      <formula>NOT(ISERROR(SEARCH("Favourable",I1)))</formula>
    </cfRule>
  </conditionalFormatting>
  <pageMargins left="0.7" right="0.7" top="0.75" bottom="0.75" header="0.3" footer="0.3"/>
  <ignoredErrors>
    <ignoredError sqref="I9:I10 I4 G6:H6 E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9F40-78DF-4C9D-A7E6-F55E91069783}">
  <sheetPr>
    <tabColor rgb="FF92D050"/>
  </sheetPr>
  <dimension ref="A1:S23"/>
  <sheetViews>
    <sheetView zoomScale="81" workbookViewId="0">
      <pane xSplit="1" topLeftCell="B1" activePane="topRight" state="frozen"/>
      <selection pane="topRight" activeCell="AL8" sqref="AL8"/>
    </sheetView>
  </sheetViews>
  <sheetFormatPr defaultRowHeight="14.5"/>
  <cols>
    <col min="1" max="1" width="21.7265625" style="2" bestFit="1" customWidth="1"/>
    <col min="12" max="12" width="26.54296875" bestFit="1" customWidth="1"/>
  </cols>
  <sheetData>
    <row r="1" spans="1:12">
      <c r="A1" s="172" t="s">
        <v>360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</row>
    <row r="2" spans="1:12">
      <c r="A2" s="29" t="s">
        <v>343</v>
      </c>
      <c r="B2" s="28">
        <f>'Data Sheet'!B16</f>
        <v>42460</v>
      </c>
      <c r="C2" s="28">
        <f>'Data Sheet'!C16</f>
        <v>42825</v>
      </c>
      <c r="D2" s="28">
        <f>'Data Sheet'!D16</f>
        <v>43190</v>
      </c>
      <c r="E2" s="28">
        <f>'Data Sheet'!E16</f>
        <v>43555</v>
      </c>
      <c r="F2" s="28">
        <f>'Data Sheet'!F16</f>
        <v>43921</v>
      </c>
      <c r="G2" s="28">
        <f>'Data Sheet'!G16</f>
        <v>44286</v>
      </c>
      <c r="H2" s="28">
        <f>'Data Sheet'!H16</f>
        <v>44651</v>
      </c>
      <c r="I2" s="28">
        <f>'Data Sheet'!I16</f>
        <v>45016</v>
      </c>
      <c r="J2" s="28">
        <f>'Data Sheet'!J16</f>
        <v>45382</v>
      </c>
      <c r="K2" s="28">
        <f>'Data Sheet'!K16</f>
        <v>45747</v>
      </c>
      <c r="L2" s="82" t="s">
        <v>344</v>
      </c>
    </row>
    <row r="3" spans="1:12">
      <c r="A3" s="132" t="s">
        <v>335</v>
      </c>
      <c r="B3" s="131" t="str">
        <f>'RATIO ANALYSIS'!B4</f>
        <v>-</v>
      </c>
      <c r="C3" s="5">
        <f>'RATIO ANALYSIS'!C4</f>
        <v>0.20785025597393947</v>
      </c>
      <c r="D3" s="5">
        <f>'RATIO ANALYSIS'!D4</f>
        <v>0.22049149283651737</v>
      </c>
      <c r="E3" s="5">
        <f>'RATIO ANALYSIS'!E4</f>
        <v>0.23771480074476115</v>
      </c>
      <c r="F3" s="5">
        <f>'RATIO ANALYSIS'!F4</f>
        <v>-7.2170002650901788E-2</v>
      </c>
      <c r="G3" s="5">
        <f>'RATIO ANALYSIS'!G4</f>
        <v>0.20728250336913878</v>
      </c>
      <c r="H3" s="5">
        <f>'RATIO ANALYSIS'!H4</f>
        <v>3.8239797445833057E-2</v>
      </c>
      <c r="I3" s="5">
        <f>'RATIO ANALYSIS'!I4</f>
        <v>0.15736579404475037</v>
      </c>
      <c r="J3" s="5">
        <f>'RATIO ANALYSIS'!J4</f>
        <v>0.16312143405440227</v>
      </c>
      <c r="K3" s="5">
        <f>'RATIO ANALYSIS'!K4</f>
        <v>4.4911098893364532E-2</v>
      </c>
      <c r="L3" t="s">
        <v>345</v>
      </c>
    </row>
    <row r="4" spans="1:12">
      <c r="A4" s="133" t="s">
        <v>336</v>
      </c>
      <c r="B4" s="131" t="str">
        <f>'RATIO ANALYSIS'!B7</f>
        <v>-</v>
      </c>
      <c r="C4" s="5">
        <f>'RATIO ANALYSIS'!C7</f>
        <v>2.0363540569020273</v>
      </c>
      <c r="D4" s="5">
        <f>'RATIO ANALYSIS'!D7</f>
        <v>0.3142807565504051</v>
      </c>
      <c r="E4" s="5">
        <f>'RATIO ANALYSIS'!E7</f>
        <v>1.2225713606718758E-2</v>
      </c>
      <c r="F4" s="5">
        <f>'RATIO ANALYSIS'!F7</f>
        <v>0.85540251473887241</v>
      </c>
      <c r="G4" s="5">
        <f>'RATIO ANALYSIS'!G7</f>
        <v>-0.21010896309314686</v>
      </c>
      <c r="H4" s="5">
        <f>'RATIO ANALYSIS'!H7</f>
        <v>-0.2724052615652961</v>
      </c>
      <c r="I4" s="5">
        <f>'RATIO ANALYSIS'!I7</f>
        <v>0.34855786872813233</v>
      </c>
      <c r="J4" s="5">
        <f>'RATIO ANALYSIS'!J7</f>
        <v>0.20529705215419303</v>
      </c>
      <c r="K4" s="5">
        <f>'RATIO ANALYSIS'!K7</f>
        <v>5.604888474158165E-2</v>
      </c>
      <c r="L4" t="s">
        <v>345</v>
      </c>
    </row>
    <row r="5" spans="1:12">
      <c r="A5" s="133" t="s">
        <v>337</v>
      </c>
      <c r="B5" s="5">
        <f>'RATIO ANALYSIS'!B11</f>
        <v>4.6896989793093771E-2</v>
      </c>
      <c r="C5" s="5">
        <f>'RATIO ANALYSIS'!C11</f>
        <v>6.4597993404626269E-2</v>
      </c>
      <c r="D5" s="5">
        <f>'RATIO ANALYSIS'!D11</f>
        <v>0.10937197341945799</v>
      </c>
      <c r="E5" s="5">
        <f>'RATIO ANALYSIS'!E11</f>
        <v>0.11538928333029917</v>
      </c>
      <c r="F5" s="5">
        <f>'RATIO ANALYSIS'!F11</f>
        <v>0.11382267744561625</v>
      </c>
      <c r="G5" s="5">
        <f>'RATIO ANALYSIS'!G11</f>
        <v>0.16052930962217835</v>
      </c>
      <c r="H5" s="5">
        <f>'RATIO ANALYSIS'!H11</f>
        <v>0.132652262569257</v>
      </c>
      <c r="I5" s="5">
        <f>'RATIO ANALYSIS'!I11</f>
        <v>9.1359392740746267E-2</v>
      </c>
      <c r="J5" s="5">
        <f>'RATIO ANALYSIS'!J11</f>
        <v>0.11530163950144788</v>
      </c>
      <c r="K5" s="5">
        <f>'RATIO ANALYSIS'!K11</f>
        <v>0.11364736798947257</v>
      </c>
      <c r="L5" t="s">
        <v>346</v>
      </c>
    </row>
    <row r="6" spans="1:12">
      <c r="A6" s="134" t="s">
        <v>338</v>
      </c>
      <c r="B6" s="5">
        <f>'RATIO ANALYSIS'!B14</f>
        <v>1.1506443783344323E-2</v>
      </c>
      <c r="C6" s="5">
        <f>'RATIO ANALYSIS'!C14</f>
        <v>2.2893231660687911E-2</v>
      </c>
      <c r="D6" s="5">
        <f>'RATIO ANALYSIS'!D14</f>
        <v>5.6954069107828409E-2</v>
      </c>
      <c r="E6" s="5">
        <f>'RATIO ANALYSIS'!E14</f>
        <v>6.0477290075726366E-2</v>
      </c>
      <c r="F6" s="5">
        <f>'RATIO ANALYSIS'!F14</f>
        <v>6.5978323915808615E-2</v>
      </c>
      <c r="G6" s="5">
        <f>'RATIO ANALYSIS'!G14</f>
        <v>0.10139826243652365</v>
      </c>
      <c r="H6" s="5">
        <f>'RATIO ANALYSIS'!H14</f>
        <v>7.7143622170501053E-2</v>
      </c>
      <c r="I6" s="5">
        <f>'RATIO ANALYSIS'!I14</f>
        <v>4.8497453340910698E-2</v>
      </c>
      <c r="J6" s="5">
        <f>'RATIO ANALYSIS'!J14</f>
        <v>5.6229401678364703E-2</v>
      </c>
      <c r="K6" s="5">
        <f>'RATIO ANALYSIS'!K14</f>
        <v>6.4860189693748682E-2</v>
      </c>
      <c r="L6" t="s">
        <v>346</v>
      </c>
    </row>
    <row r="7" spans="1:12">
      <c r="A7" s="132" t="s">
        <v>339</v>
      </c>
      <c r="B7" s="5">
        <f>'RATIO ANALYSIS'!B20</f>
        <v>5.6044914422762389E-2</v>
      </c>
      <c r="C7" s="5">
        <f>'RATIO ANALYSIS'!C20</f>
        <v>0.10833563052651636</v>
      </c>
      <c r="D7" s="5">
        <f>'RATIO ANALYSIS'!D20</f>
        <v>0.21186287358299932</v>
      </c>
      <c r="E7" s="5">
        <f>'RATIO ANALYSIS'!E20</f>
        <v>0.21505187090659855</v>
      </c>
      <c r="F7" s="5">
        <f>'RATIO ANALYSIS'!F20</f>
        <v>0.17506721810260134</v>
      </c>
      <c r="G7" s="5">
        <f>'RATIO ANALYSIS'!G20</f>
        <v>0.19811116746678625</v>
      </c>
      <c r="H7" s="5">
        <f>'RATIO ANALYSIS'!H20</f>
        <v>0.10899324999836636</v>
      </c>
      <c r="I7" s="5">
        <f>'RATIO ANALYSIS'!I20</f>
        <v>7.5203693348261422E-2</v>
      </c>
      <c r="J7" s="5">
        <f>'RATIO ANALYSIS'!J20</f>
        <v>9.213304503317582E-2</v>
      </c>
      <c r="K7" s="5">
        <f>'RATIO ANALYSIS'!K20</f>
        <v>8.7905057114318244E-2</v>
      </c>
      <c r="L7" t="s">
        <v>347</v>
      </c>
    </row>
    <row r="8" spans="1:12">
      <c r="A8" s="133" t="s">
        <v>340</v>
      </c>
      <c r="B8" s="5">
        <f>'RATIO ANALYSIS'!B22</f>
        <v>2.6928427254377749E-2</v>
      </c>
      <c r="C8" s="5">
        <f>'RATIO ANALYSIS'!C22</f>
        <v>5.8546636807264608E-2</v>
      </c>
      <c r="D8" s="5">
        <f>'RATIO ANALYSIS'!D22</f>
        <v>0.13008207156206858</v>
      </c>
      <c r="E8" s="5">
        <f>'RATIO ANALYSIS'!E22</f>
        <v>0.14165379335624972</v>
      </c>
      <c r="F8" s="5">
        <f>'RATIO ANALYSIS'!F22</f>
        <v>0.1229678578302433</v>
      </c>
      <c r="G8" s="5">
        <f>'RATIO ANALYSIS'!G22</f>
        <v>0.14151046630310005</v>
      </c>
      <c r="H8" s="5">
        <f>'RATIO ANALYSIS'!H22</f>
        <v>7.3923341096593306E-2</v>
      </c>
      <c r="I8" s="5">
        <f>'RATIO ANALYSIS'!I22</f>
        <v>4.9930924632727997E-2</v>
      </c>
      <c r="J8" s="5">
        <f>'RATIO ANALYSIS'!J22</f>
        <v>5.8715387212667336E-2</v>
      </c>
      <c r="K8" s="5">
        <f>'RATIO ANALYSIS'!K22</f>
        <v>6.4091137091484188E-2</v>
      </c>
      <c r="L8" t="s">
        <v>347</v>
      </c>
    </row>
    <row r="9" spans="1:12">
      <c r="A9" s="134" t="s">
        <v>341</v>
      </c>
      <c r="B9" s="130">
        <f>'RATIO ANALYSIS'!B24</f>
        <v>2.013709361535446</v>
      </c>
      <c r="C9" s="130">
        <f>'RATIO ANALYSIS'!C24</f>
        <v>6.3446134740763549</v>
      </c>
      <c r="D9" s="130">
        <f>'RATIO ANALYSIS'!D24</f>
        <v>16.281112241437796</v>
      </c>
      <c r="E9" s="130">
        <f>'RATIO ANALYSIS'!E24</f>
        <v>32.51586489252815</v>
      </c>
      <c r="F9" s="130">
        <f>'RATIO ANALYSIS'!F24</f>
        <v>32.159024956471299</v>
      </c>
      <c r="G9" s="130">
        <f>'RATIO ANALYSIS'!G24</f>
        <v>75.542728635682181</v>
      </c>
      <c r="H9" s="130">
        <f>'RATIO ANALYSIS'!H24</f>
        <v>55.711422845691352</v>
      </c>
      <c r="I9" s="130">
        <f>'RATIO ANALYSIS'!I24</f>
        <v>46.720422004521531</v>
      </c>
      <c r="J9" s="130">
        <f>'RATIO ANALYSIS'!J24</f>
        <v>21.754920787325961</v>
      </c>
      <c r="K9" s="130">
        <f>'RATIO ANALYSIS'!K24</f>
        <v>31.557764826876866</v>
      </c>
      <c r="L9" t="s">
        <v>348</v>
      </c>
    </row>
    <row r="10" spans="1:12">
      <c r="A10" s="80" t="s">
        <v>198</v>
      </c>
      <c r="B10" s="129">
        <f>'RATIO ANALYSIS'!B33</f>
        <v>39.878918644867852</v>
      </c>
      <c r="C10" s="129">
        <f>'RATIO ANALYSIS'!C33</f>
        <v>40.190829198157921</v>
      </c>
      <c r="D10" s="129">
        <f>'RATIO ANALYSIS'!D33</f>
        <v>42.709128068087928</v>
      </c>
      <c r="E10" s="129">
        <f>'RATIO ANALYSIS'!E33</f>
        <v>54.268949955445684</v>
      </c>
      <c r="F10" s="129">
        <f>'RATIO ANALYSIS'!F33</f>
        <v>45.976723252135507</v>
      </c>
      <c r="G10" s="129">
        <f>'RATIO ANALYSIS'!G33</f>
        <v>34.217611719857096</v>
      </c>
      <c r="H10" s="129">
        <f>'RATIO ANALYSIS'!H33</f>
        <v>39.725415885700954</v>
      </c>
      <c r="I10" s="129">
        <f>'RATIO ANALYSIS'!I33</f>
        <v>51.084124579264397</v>
      </c>
      <c r="J10" s="129">
        <f>'RATIO ANALYSIS'!J33</f>
        <v>53.162887268847435</v>
      </c>
      <c r="K10" s="129">
        <f>'RATIO ANALYSIS'!K33</f>
        <v>47.454831567726288</v>
      </c>
      <c r="L10" t="s">
        <v>349</v>
      </c>
    </row>
    <row r="11" spans="1:12">
      <c r="A11" s="135" t="s">
        <v>201</v>
      </c>
      <c r="B11" s="129">
        <f>'RATIO ANALYSIS'!B36</f>
        <v>-32.102439109671053</v>
      </c>
      <c r="C11" s="129">
        <f>'RATIO ANALYSIS'!C36</f>
        <v>-35.758347345084715</v>
      </c>
      <c r="D11" s="129">
        <f>'RATIO ANALYSIS'!D36</f>
        <v>-39.57592294647128</v>
      </c>
      <c r="E11" s="129">
        <f>'RATIO ANALYSIS'!E36</f>
        <v>2.0954500305013397</v>
      </c>
      <c r="F11" s="129">
        <f>'RATIO ANALYSIS'!F36</f>
        <v>-14.679557459522997</v>
      </c>
      <c r="G11" s="129">
        <f>'RATIO ANALYSIS'!G36</f>
        <v>-21.630705033345592</v>
      </c>
      <c r="H11" s="129">
        <f>'RATIO ANALYSIS'!H36</f>
        <v>9.1863332715426367</v>
      </c>
      <c r="I11" s="129">
        <f>'RATIO ANALYSIS'!I36</f>
        <v>24.099806731532425</v>
      </c>
      <c r="J11" s="129">
        <f>'RATIO ANALYSIS'!J36</f>
        <v>21.619447569716812</v>
      </c>
      <c r="K11" s="129">
        <f>'RATIO ANALYSIS'!K36</f>
        <v>3.8524270100782019</v>
      </c>
      <c r="L11" t="s">
        <v>350</v>
      </c>
    </row>
    <row r="12" spans="1:12">
      <c r="A12" s="80" t="s">
        <v>203</v>
      </c>
      <c r="B12" s="5">
        <f>'RATIO ANALYSIS'!B38</f>
        <v>7.2844035093342349E-2</v>
      </c>
      <c r="C12" s="5">
        <f>'RATIO ANALYSIS'!C38</f>
        <v>9.2875597358955744E-2</v>
      </c>
      <c r="D12" s="5">
        <f>'RATIO ANALYSIS'!D38</f>
        <v>0.11266291650689615</v>
      </c>
      <c r="E12" s="5">
        <f>'RATIO ANALYSIS'!E38</f>
        <v>-0.12392167383687691</v>
      </c>
      <c r="F12" s="5">
        <f>'RATIO ANALYSIS'!F38</f>
        <v>0.22960057417354982</v>
      </c>
      <c r="G12" s="5">
        <f>'RATIO ANALYSIS'!G38</f>
        <v>0.23280613365039446</v>
      </c>
      <c r="H12" s="5">
        <f>'RATIO ANALYSIS'!H38</f>
        <v>-4.7647490954528915E-2</v>
      </c>
      <c r="I12" s="5">
        <f>'RATIO ANALYSIS'!I38</f>
        <v>3.6779143615437273E-3</v>
      </c>
      <c r="J12" s="5">
        <f>'RATIO ANALYSIS'!J38</f>
        <v>7.1402414829669539E-2</v>
      </c>
      <c r="K12" s="5">
        <f>'RATIO ANALYSIS'!K38</f>
        <v>0.1675146526511439</v>
      </c>
      <c r="L12" t="s">
        <v>351</v>
      </c>
    </row>
    <row r="13" spans="1:12">
      <c r="A13" s="133" t="s">
        <v>57</v>
      </c>
      <c r="B13" s="130">
        <f>'RATIO ANALYSIS'!B48</f>
        <v>3.2210440456769889</v>
      </c>
      <c r="C13" s="130">
        <f>'RATIO ANALYSIS'!C48</f>
        <v>7.7406199021206694</v>
      </c>
      <c r="D13" s="130">
        <f>'RATIO ANALYSIS'!D48</f>
        <v>23.503262642740669</v>
      </c>
      <c r="E13" s="130">
        <f>'RATIO ANALYSIS'!E48</f>
        <v>30.889885807504083</v>
      </c>
      <c r="F13" s="130">
        <f>'RATIO ANALYSIS'!F48</f>
        <v>31.267536704730873</v>
      </c>
      <c r="G13" s="130">
        <f>'RATIO ANALYSIS'!G48</f>
        <v>52.763353115727021</v>
      </c>
      <c r="H13" s="130">
        <f>'RATIO ANALYSIS'!H48</f>
        <v>42.593631539044694</v>
      </c>
      <c r="I13" s="130">
        <f>'RATIO ANALYSIS'!I48</f>
        <v>30.990902198635379</v>
      </c>
      <c r="J13" s="130">
        <f>'RATIO ANALYSIS'!J48</f>
        <v>49.886877828054246</v>
      </c>
      <c r="K13" s="130">
        <f>'RATIO ANALYSIS'!K48</f>
        <v>59.376228775692432</v>
      </c>
      <c r="L13" t="s">
        <v>352</v>
      </c>
    </row>
    <row r="14" spans="1:12">
      <c r="A14" s="133" t="s">
        <v>342</v>
      </c>
      <c r="B14" s="131" t="str">
        <f>'RATIO ANALYSIS'!B5</f>
        <v>-</v>
      </c>
      <c r="C14" s="5">
        <f>'RATIO ANALYSIS'!C5</f>
        <v>1.0664351333184023</v>
      </c>
      <c r="D14" s="5">
        <f>'RATIO ANALYSIS'!D5</f>
        <v>0.30581006596186722</v>
      </c>
      <c r="E14" s="5">
        <f>'RATIO ANALYSIS'!E5</f>
        <v>-8.4766873797693654E-2</v>
      </c>
      <c r="F14" s="5">
        <f>'RATIO ANALYSIS'!F5</f>
        <v>0.70268553801487843</v>
      </c>
      <c r="G14" s="5">
        <f>'RATIO ANALYSIS'!G5</f>
        <v>-0.14205786753343697</v>
      </c>
      <c r="H14" s="5">
        <f>'RATIO ANALYSIS'!H5</f>
        <v>-0.20290665176075906</v>
      </c>
      <c r="I14" s="5">
        <f>'RATIO ANALYSIS'!I5</f>
        <v>0.46793673055944951</v>
      </c>
      <c r="J14" s="5">
        <f>'RATIO ANALYSIS'!J5</f>
        <v>2.991940691985695E-2</v>
      </c>
      <c r="K14" s="5">
        <f>'RATIO ANALYSIS'!K5</f>
        <v>4.5147269775553722E-2</v>
      </c>
      <c r="L14" t="s">
        <v>345</v>
      </c>
    </row>
    <row r="17" spans="1:19">
      <c r="A17" s="176" t="s">
        <v>353</v>
      </c>
      <c r="B17" s="176"/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</row>
    <row r="18" spans="1:19">
      <c r="A18" s="176" t="s">
        <v>354</v>
      </c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1:19">
      <c r="A19" s="176" t="s">
        <v>355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</row>
    <row r="20" spans="1:19">
      <c r="A20" s="176" t="s">
        <v>356</v>
      </c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</row>
    <row r="21" spans="1:19">
      <c r="A21" s="176" t="s">
        <v>357</v>
      </c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</row>
    <row r="22" spans="1:19">
      <c r="A22" s="176" t="s">
        <v>358</v>
      </c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</row>
    <row r="23" spans="1:19">
      <c r="A23" s="176" t="s">
        <v>359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</row>
  </sheetData>
  <mergeCells count="8">
    <mergeCell ref="A21:S21"/>
    <mergeCell ref="A22:Q22"/>
    <mergeCell ref="A23:L23"/>
    <mergeCell ref="A1:L1"/>
    <mergeCell ref="A17:S17"/>
    <mergeCell ref="A18:M18"/>
    <mergeCell ref="A19:R19"/>
    <mergeCell ref="A20:O20"/>
  </mergeCells>
  <conditionalFormatting sqref="K16">
    <cfRule type="containsText" dxfId="8" priority="4" operator="containsText" text="deteriorating">
      <formula>NOT(ISERROR(SEARCH("deteriorating",K16)))</formula>
    </cfRule>
  </conditionalFormatting>
  <conditionalFormatting sqref="L1:L16 L24:L1048576">
    <cfRule type="containsText" dxfId="7" priority="1" operator="containsText" text="Volatile">
      <formula>NOT(ISERROR(SEARCH("Volatile",L1)))</formula>
    </cfRule>
    <cfRule type="containsText" dxfId="6" priority="3" operator="containsText" text="Deteriorating">
      <formula>NOT(ISERROR(SEARCH("Deteriorating",L1)))</formula>
    </cfRule>
    <cfRule type="containsText" dxfId="5" priority="5" operator="containsText" text="moderating">
      <formula>NOT(ISERROR(SEARCH("moderating",L1)))</formula>
    </cfRule>
    <cfRule type="containsText" dxfId="4" priority="6" operator="containsText" text="improving">
      <formula>NOT(ISERROR(SEARCH("improving",L1)))</formula>
    </cfRule>
    <cfRule type="containsText" dxfId="3" priority="7" operator="containsText" text="rising">
      <formula>NOT(ISERROR(SEARCH("rising",L1)))</formula>
    </cfRule>
    <cfRule type="containsText" dxfId="2" priority="8" operator="containsText" text="Expanding">
      <formula>NOT(ISERROR(SEARCH("Expanding",L1)))</formula>
    </cfRule>
    <cfRule type="containsText" dxfId="1" priority="9" operator="containsText" text="&quot;Expanding&quot; or &quot;improving&quot; or &quot;rising&quot;">
      <formula>NOT(ISERROR(SEARCH("""Expanding"" or ""improving"" or ""rising""",L1)))</formula>
    </cfRule>
  </conditionalFormatting>
  <conditionalFormatting sqref="N13">
    <cfRule type="containsText" dxfId="0" priority="2" operator="containsText" text="volatile">
      <formula>NOT(ISERROR(SEARCH("volatile",N13)))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CF8A-1ACD-466D-89DB-AE3C9051B94C}">
  <sheetPr>
    <tabColor rgb="FF92D050"/>
  </sheetPr>
  <dimension ref="A1:H60"/>
  <sheetViews>
    <sheetView workbookViewId="0">
      <selection activeCell="H2" sqref="H2"/>
    </sheetView>
  </sheetViews>
  <sheetFormatPr defaultRowHeight="13"/>
  <cols>
    <col min="1" max="1" width="43" style="137" bestFit="1" customWidth="1"/>
    <col min="2" max="2" width="10.90625" style="137" bestFit="1" customWidth="1"/>
    <col min="3" max="3" width="10.7265625" style="137" bestFit="1" customWidth="1"/>
    <col min="4" max="4" width="10.6328125" style="137" bestFit="1" customWidth="1"/>
    <col min="5" max="6" width="10.36328125" style="137" bestFit="1" customWidth="1"/>
    <col min="7" max="16384" width="8.7265625" style="137"/>
  </cols>
  <sheetData>
    <row r="1" spans="1:8">
      <c r="A1" s="177" t="s">
        <v>361</v>
      </c>
      <c r="B1" s="177"/>
      <c r="C1" s="177"/>
      <c r="D1" s="177"/>
      <c r="E1" s="177"/>
    </row>
    <row r="2" spans="1:8">
      <c r="A2" s="177" t="s">
        <v>366</v>
      </c>
      <c r="B2" s="177"/>
      <c r="C2" s="177"/>
      <c r="D2" s="177"/>
      <c r="E2" s="177"/>
      <c r="H2" s="137" t="s">
        <v>393</v>
      </c>
    </row>
    <row r="3" spans="1:8">
      <c r="A3" s="136" t="s">
        <v>362</v>
      </c>
      <c r="B3" s="136" t="s">
        <v>363</v>
      </c>
      <c r="C3" s="136" t="s">
        <v>364</v>
      </c>
      <c r="D3" s="136" t="s">
        <v>365</v>
      </c>
    </row>
    <row r="4" spans="1:8">
      <c r="A4" s="137" t="s">
        <v>367</v>
      </c>
      <c r="B4" s="138">
        <v>0.03</v>
      </c>
      <c r="C4" s="138">
        <v>0.06</v>
      </c>
      <c r="D4" s="138">
        <v>0.1</v>
      </c>
    </row>
    <row r="5" spans="1:8">
      <c r="A5" s="137" t="s">
        <v>337</v>
      </c>
      <c r="B5" s="139">
        <v>9.5000000000000001E-2</v>
      </c>
      <c r="C5" s="139">
        <v>0.115</v>
      </c>
      <c r="D5" s="138">
        <v>0.13</v>
      </c>
    </row>
    <row r="6" spans="1:8">
      <c r="A6" s="137" t="s">
        <v>368</v>
      </c>
      <c r="B6" s="137">
        <v>500</v>
      </c>
      <c r="C6" s="137">
        <v>600</v>
      </c>
      <c r="D6" s="137">
        <v>700</v>
      </c>
    </row>
    <row r="7" spans="1:8">
      <c r="A7" s="137" t="s">
        <v>369</v>
      </c>
      <c r="B7" s="137">
        <v>260</v>
      </c>
      <c r="C7" s="137">
        <v>260</v>
      </c>
      <c r="D7" s="137">
        <v>260</v>
      </c>
    </row>
    <row r="8" spans="1:8">
      <c r="A8" s="137" t="s">
        <v>370</v>
      </c>
      <c r="B8" s="137">
        <v>25</v>
      </c>
      <c r="C8" s="137">
        <v>25</v>
      </c>
      <c r="D8" s="137">
        <v>25</v>
      </c>
    </row>
    <row r="9" spans="1:8">
      <c r="A9" s="137" t="s">
        <v>371</v>
      </c>
      <c r="B9" s="139">
        <v>0.25169999999999998</v>
      </c>
      <c r="C9" s="139">
        <v>0.25169999999999998</v>
      </c>
      <c r="D9" s="139">
        <v>0.25169999999999998</v>
      </c>
    </row>
    <row r="10" spans="1:8">
      <c r="A10" s="137" t="s">
        <v>372</v>
      </c>
      <c r="B10" s="137">
        <v>11.9</v>
      </c>
      <c r="C10" s="137">
        <v>11.9</v>
      </c>
      <c r="D10" s="137">
        <v>11.9</v>
      </c>
    </row>
    <row r="13" spans="1:8" ht="14.5">
      <c r="A13" s="172" t="s">
        <v>374</v>
      </c>
      <c r="B13" s="172"/>
      <c r="C13" s="172"/>
      <c r="D13" s="172"/>
    </row>
    <row r="14" spans="1:8">
      <c r="A14" s="136" t="s">
        <v>373</v>
      </c>
      <c r="B14" s="136" t="s">
        <v>363</v>
      </c>
      <c r="C14" s="136" t="s">
        <v>364</v>
      </c>
      <c r="D14" s="136" t="s">
        <v>365</v>
      </c>
    </row>
    <row r="15" spans="1:8">
      <c r="A15" s="137" t="s">
        <v>375</v>
      </c>
      <c r="B15" s="140">
        <f>'Profit &amp; Loss'!K4</f>
        <v>10243.879999999999</v>
      </c>
      <c r="C15" s="140">
        <f>'Profit &amp; Loss'!K4</f>
        <v>10243.879999999999</v>
      </c>
      <c r="D15" s="140">
        <f>'Profit &amp; Loss'!K4</f>
        <v>10243.879999999999</v>
      </c>
    </row>
    <row r="16" spans="1:8">
      <c r="A16" s="137" t="s">
        <v>376</v>
      </c>
      <c r="B16" s="140">
        <f>B15*(1+B4)</f>
        <v>10551.196399999999</v>
      </c>
      <c r="C16" s="140">
        <f>C15*(1+C4)</f>
        <v>10858.5128</v>
      </c>
      <c r="D16" s="140">
        <f>D15*(1+D4)</f>
        <v>11268.268</v>
      </c>
    </row>
    <row r="17" spans="1:4">
      <c r="A17" s="137" t="s">
        <v>377</v>
      </c>
      <c r="B17" s="140">
        <f>B16*B5</f>
        <v>1002.3636579999999</v>
      </c>
      <c r="C17" s="140">
        <f>C16*C5</f>
        <v>1248.7289720000001</v>
      </c>
      <c r="D17" s="140">
        <f>D16*D5</f>
        <v>1464.8748399999999</v>
      </c>
    </row>
    <row r="18" spans="1:4">
      <c r="A18" s="137" t="s">
        <v>9</v>
      </c>
      <c r="B18" s="137">
        <f t="shared" ref="B18:D19" si="0">B6</f>
        <v>500</v>
      </c>
      <c r="C18" s="137">
        <f t="shared" si="0"/>
        <v>600</v>
      </c>
      <c r="D18" s="137">
        <f t="shared" si="0"/>
        <v>700</v>
      </c>
    </row>
    <row r="19" spans="1:4">
      <c r="A19" s="137" t="s">
        <v>10</v>
      </c>
      <c r="B19" s="137">
        <f t="shared" si="0"/>
        <v>260</v>
      </c>
      <c r="C19" s="137">
        <f t="shared" si="0"/>
        <v>260</v>
      </c>
      <c r="D19" s="137">
        <f t="shared" si="0"/>
        <v>260</v>
      </c>
    </row>
    <row r="20" spans="1:4">
      <c r="A20" s="137" t="s">
        <v>378</v>
      </c>
      <c r="B20" s="140">
        <f>B17-B19</f>
        <v>742.36365799999987</v>
      </c>
      <c r="C20" s="140">
        <f>C17-C19</f>
        <v>988.72897200000011</v>
      </c>
      <c r="D20" s="140">
        <f t="shared" ref="D20" si="1">D17-D19</f>
        <v>1204.8748399999999</v>
      </c>
    </row>
    <row r="21" spans="1:4">
      <c r="A21" s="137" t="s">
        <v>11</v>
      </c>
      <c r="B21" s="137">
        <f>B8</f>
        <v>25</v>
      </c>
      <c r="C21" s="137">
        <f>C8</f>
        <v>25</v>
      </c>
      <c r="D21" s="137">
        <f>D8</f>
        <v>25</v>
      </c>
    </row>
    <row r="22" spans="1:4">
      <c r="A22" s="137" t="s">
        <v>379</v>
      </c>
      <c r="B22" s="140">
        <f>B20+B18-B21</f>
        <v>1217.3636579999998</v>
      </c>
      <c r="C22" s="140">
        <f>C20+C18-C21</f>
        <v>1563.7289720000001</v>
      </c>
      <c r="D22" s="140">
        <f t="shared" ref="D22" si="2">D20+D18-D21</f>
        <v>1879.8748399999999</v>
      </c>
    </row>
    <row r="23" spans="1:4">
      <c r="A23" s="137" t="s">
        <v>13</v>
      </c>
      <c r="B23" s="140">
        <f>B22*B9</f>
        <v>306.41043271859991</v>
      </c>
      <c r="C23" s="140">
        <f>C22*C9</f>
        <v>393.5905822524</v>
      </c>
      <c r="D23" s="140">
        <f t="shared" ref="D23" si="3">D22*D9</f>
        <v>473.16449722799996</v>
      </c>
    </row>
    <row r="24" spans="1:4">
      <c r="A24" s="141" t="s">
        <v>380</v>
      </c>
      <c r="B24" s="142">
        <f>B22-B23</f>
        <v>910.95322528139991</v>
      </c>
      <c r="C24" s="142">
        <f t="shared" ref="C24:D24" si="4">C22-C23</f>
        <v>1170.1383897476001</v>
      </c>
      <c r="D24" s="142">
        <f t="shared" si="4"/>
        <v>1406.7103427719999</v>
      </c>
    </row>
    <row r="25" spans="1:4">
      <c r="A25" s="143" t="s">
        <v>57</v>
      </c>
      <c r="B25" s="144">
        <f>B24/B10</f>
        <v>76.55069120011764</v>
      </c>
      <c r="C25" s="144">
        <f t="shared" ref="C25:D25" si="5">C24/C10</f>
        <v>98.33095712164706</v>
      </c>
      <c r="D25" s="144">
        <f t="shared" si="5"/>
        <v>118.21095317411763</v>
      </c>
    </row>
    <row r="27" spans="1:4" ht="14.5">
      <c r="A27" s="172" t="s">
        <v>381</v>
      </c>
      <c r="B27" s="172"/>
      <c r="C27" s="172"/>
      <c r="D27" s="172"/>
    </row>
    <row r="28" spans="1:4">
      <c r="A28" s="136" t="s">
        <v>343</v>
      </c>
      <c r="B28" s="136" t="s">
        <v>382</v>
      </c>
      <c r="C28" s="136" t="s">
        <v>383</v>
      </c>
      <c r="D28" s="136" t="s">
        <v>384</v>
      </c>
    </row>
    <row r="29" spans="1:4">
      <c r="A29" s="137" t="s">
        <v>385</v>
      </c>
      <c r="B29" s="140">
        <f>B16-B15</f>
        <v>307.3163999999997</v>
      </c>
      <c r="C29" s="140">
        <f>C16-C15</f>
        <v>614.63280000000123</v>
      </c>
      <c r="D29" s="140">
        <f t="shared" ref="D29" si="6">D16-D15</f>
        <v>1024.3880000000008</v>
      </c>
    </row>
    <row r="30" spans="1:4">
      <c r="A30" s="137" t="s">
        <v>386</v>
      </c>
      <c r="B30" s="140">
        <f>B16-B15-1</f>
        <v>306.3163999999997</v>
      </c>
      <c r="C30" s="140">
        <f>C16-C15-1</f>
        <v>613.63280000000123</v>
      </c>
      <c r="D30" s="140">
        <f t="shared" ref="D30" si="7">D16-D15-1</f>
        <v>1023.3880000000008</v>
      </c>
    </row>
    <row r="31" spans="1:4">
      <c r="A31" s="137" t="s">
        <v>388</v>
      </c>
      <c r="B31" s="140">
        <f>B24-'Profit &amp; Loss'!K12</f>
        <v>-353.98677471860015</v>
      </c>
      <c r="C31" s="140">
        <f>C24-'Profit &amp; Loss'!K12</f>
        <v>-94.801610252399996</v>
      </c>
      <c r="D31" s="140">
        <f>D24-'Profit &amp; Loss'!K12</f>
        <v>141.77034277199982</v>
      </c>
    </row>
    <row r="32" spans="1:4">
      <c r="A32" s="137" t="s">
        <v>387</v>
      </c>
      <c r="B32" s="140">
        <f>B24-'Profit &amp; Loss'!K12-1</f>
        <v>-354.98677471860015</v>
      </c>
      <c r="C32" s="140">
        <f>C24-'Profit &amp; Loss'!K12-1</f>
        <v>-95.801610252399996</v>
      </c>
      <c r="D32" s="140">
        <f>D24-'Profit &amp; Loss'!K12-1</f>
        <v>140.77034277199982</v>
      </c>
    </row>
    <row r="33" spans="1:8">
      <c r="A33" s="137" t="s">
        <v>389</v>
      </c>
      <c r="B33" s="140">
        <f>B25-'Profit &amp; Loss'!K13</f>
        <v>-36.491310587192473</v>
      </c>
      <c r="C33" s="140">
        <f>C25-'Profit &amp; Loss'!K13</f>
        <v>-14.711044665663053</v>
      </c>
      <c r="D33" s="140">
        <f>D25-'Profit &amp; Loss'!K13</f>
        <v>5.168951386807521</v>
      </c>
    </row>
    <row r="36" spans="1:8" ht="14.5">
      <c r="A36" s="172" t="s">
        <v>390</v>
      </c>
      <c r="B36" s="172"/>
      <c r="C36" s="172"/>
      <c r="D36" s="172"/>
      <c r="E36" s="172"/>
      <c r="F36" s="172"/>
    </row>
    <row r="37" spans="1:8">
      <c r="A37" s="145">
        <f>(WACC!E24*WACC!E31)+((WACC!K22+H38*H37)*WACC!E32)</f>
        <v>0.13483027974255832</v>
      </c>
      <c r="B37" s="145">
        <v>7.0000000000000007E-2</v>
      </c>
      <c r="C37" s="145">
        <v>7.4999999999999997E-2</v>
      </c>
      <c r="D37" s="145">
        <v>0.08</v>
      </c>
      <c r="E37" s="145">
        <v>8.5000000000000006E-2</v>
      </c>
      <c r="F37" s="145">
        <v>0.09</v>
      </c>
      <c r="H37" s="139">
        <f>WACC!K23</f>
        <v>0.08</v>
      </c>
    </row>
    <row r="38" spans="1:8">
      <c r="A38" s="136">
        <v>0.7</v>
      </c>
      <c r="B38" s="139">
        <f t="dataTable" ref="B38:F42" dt2D="1" dtr="1" r1="H37" r2="H38"/>
        <v>0.11105245705</v>
      </c>
      <c r="C38" s="139">
        <v>0.11454160704999999</v>
      </c>
      <c r="D38" s="139">
        <v>0.11803075705</v>
      </c>
      <c r="E38" s="139">
        <v>0.12151990705</v>
      </c>
      <c r="F38" s="139">
        <v>0.12500905705000001</v>
      </c>
      <c r="H38" s="137">
        <f>BETA!D73</f>
        <v>0.91064703947936509</v>
      </c>
    </row>
    <row r="39" spans="1:8">
      <c r="A39" s="136">
        <v>0.8</v>
      </c>
      <c r="B39" s="139">
        <v>0.11803075705</v>
      </c>
      <c r="C39" s="139">
        <v>0.12201835705</v>
      </c>
      <c r="D39" s="139">
        <v>0.12600595705000001</v>
      </c>
      <c r="E39" s="139">
        <v>0.12999355705000001</v>
      </c>
      <c r="F39" s="139">
        <v>0.13398115704999999</v>
      </c>
    </row>
    <row r="40" spans="1:8">
      <c r="A40" s="136">
        <v>0.91</v>
      </c>
      <c r="B40" s="151">
        <v>0.12570688705000002</v>
      </c>
      <c r="C40" s="151">
        <v>0.13024278205000001</v>
      </c>
      <c r="D40" s="151">
        <v>0.13477867705000002</v>
      </c>
      <c r="E40" s="151">
        <v>0.13931457205</v>
      </c>
      <c r="F40" s="151">
        <v>0.14385046705000001</v>
      </c>
    </row>
    <row r="41" spans="1:8">
      <c r="A41" s="136">
        <v>1</v>
      </c>
      <c r="B41" s="139">
        <v>0.13198735705</v>
      </c>
      <c r="C41" s="139">
        <v>0.13697185704999998</v>
      </c>
      <c r="D41" s="139">
        <v>0.14195635704999998</v>
      </c>
      <c r="E41" s="139">
        <v>0.14694085704999998</v>
      </c>
      <c r="F41" s="139">
        <v>0.15192535704999999</v>
      </c>
    </row>
    <row r="42" spans="1:8">
      <c r="A42" s="136">
        <v>1.1000000000000001</v>
      </c>
      <c r="B42" s="139">
        <v>0.13896565705000002</v>
      </c>
      <c r="C42" s="139">
        <v>0.14444860704999998</v>
      </c>
      <c r="D42" s="139">
        <v>0.14993155705</v>
      </c>
      <c r="E42" s="139">
        <v>0.15541450705000001</v>
      </c>
      <c r="F42" s="139">
        <v>0.16089745705</v>
      </c>
    </row>
    <row r="44" spans="1:8">
      <c r="B44" s="139"/>
    </row>
    <row r="45" spans="1:8" ht="14.5">
      <c r="A45" s="172" t="s">
        <v>391</v>
      </c>
      <c r="B45" s="172"/>
      <c r="C45" s="172"/>
      <c r="D45" s="172"/>
      <c r="E45" s="172"/>
      <c r="F45" s="172"/>
      <c r="H45" s="138"/>
    </row>
    <row r="46" spans="1:8" ht="14.5">
      <c r="A46" s="29">
        <f xml:space="preserve"> (C15 * (1 + H46) * H47 - C19 + C18 - C21) * (1 - C9)</f>
        <v>1170.1383897476001</v>
      </c>
      <c r="B46" s="145">
        <v>9.5000000000000001E-2</v>
      </c>
      <c r="C46" s="145">
        <v>0.105</v>
      </c>
      <c r="D46" s="145">
        <v>0.115</v>
      </c>
      <c r="E46" s="145">
        <v>0.125</v>
      </c>
      <c r="F46" s="145">
        <v>0.13500000000000001</v>
      </c>
      <c r="H46" s="139">
        <f>C4</f>
        <v>0.06</v>
      </c>
    </row>
    <row r="47" spans="1:8">
      <c r="A47" s="146">
        <v>0.02</v>
      </c>
      <c r="B47" s="149">
        <f t="dataTable" ref="B47:F51" dt2D="1" dtr="1" r1="H47" r2="H46" ca="1"/>
        <v>978.50100464759987</v>
      </c>
      <c r="C47" s="149">
        <v>1056.6890577683998</v>
      </c>
      <c r="D47" s="149">
        <v>1134.8771108891999</v>
      </c>
      <c r="E47" s="149">
        <v>1213.0651640099998</v>
      </c>
      <c r="F47" s="149">
        <v>1291.2532171307998</v>
      </c>
      <c r="H47" s="139">
        <f>C5</f>
        <v>0.115</v>
      </c>
    </row>
    <row r="48" spans="1:8">
      <c r="A48" s="146">
        <v>0.04</v>
      </c>
      <c r="B48" s="149">
        <v>993.0654459151998</v>
      </c>
      <c r="C48" s="149">
        <v>1072.7865981168</v>
      </c>
      <c r="D48" s="149">
        <v>1152.5077503184</v>
      </c>
      <c r="E48" s="149">
        <v>1232.2289025199998</v>
      </c>
      <c r="F48" s="149">
        <v>1311.9500547215998</v>
      </c>
    </row>
    <row r="49" spans="1:6">
      <c r="A49" s="146">
        <v>0.06</v>
      </c>
      <c r="B49" s="149">
        <v>1007.6298871828</v>
      </c>
      <c r="C49" s="149">
        <v>1088.8841384651998</v>
      </c>
      <c r="D49" s="152">
        <v>1170.1383897476001</v>
      </c>
      <c r="E49" s="149">
        <v>1251.39264103</v>
      </c>
      <c r="F49" s="149">
        <v>1332.6468923124</v>
      </c>
    </row>
    <row r="50" spans="1:6">
      <c r="A50" s="146">
        <v>0.08</v>
      </c>
      <c r="B50" s="149">
        <v>1022.1943284503999</v>
      </c>
      <c r="C50" s="149">
        <v>1104.9816788136</v>
      </c>
      <c r="D50" s="149">
        <v>1187.7690291767999</v>
      </c>
      <c r="E50" s="149">
        <v>1270.5563795399999</v>
      </c>
      <c r="F50" s="149">
        <v>1353.3437299032</v>
      </c>
    </row>
    <row r="51" spans="1:6">
      <c r="A51" s="146">
        <v>0.1</v>
      </c>
      <c r="B51" s="149">
        <v>1036.7587697179999</v>
      </c>
      <c r="C51" s="149">
        <v>1121.0792191619998</v>
      </c>
      <c r="D51" s="149">
        <v>1205.399668606</v>
      </c>
      <c r="E51" s="149">
        <v>1289.7201180499999</v>
      </c>
      <c r="F51" s="149">
        <v>1374.040567494</v>
      </c>
    </row>
    <row r="54" spans="1:6" ht="14.5">
      <c r="A54" s="172" t="s">
        <v>392</v>
      </c>
      <c r="B54" s="172"/>
      <c r="C54" s="172"/>
      <c r="D54" s="172"/>
      <c r="E54" s="172"/>
      <c r="F54" s="172"/>
    </row>
    <row r="55" spans="1:6" ht="14.5">
      <c r="A55" s="147">
        <f xml:space="preserve"> (C15 * (1 + H46) * H47 - C19 + C18 - C21) * (1 - C9) / C10</f>
        <v>98.33095712164706</v>
      </c>
      <c r="B55" s="145">
        <v>9.5000000000000001E-2</v>
      </c>
      <c r="C55" s="145">
        <v>0.105</v>
      </c>
      <c r="D55" s="145">
        <v>0.115</v>
      </c>
      <c r="E55" s="145">
        <v>0.125</v>
      </c>
      <c r="F55" s="145">
        <v>0.13500000000000001</v>
      </c>
    </row>
    <row r="56" spans="1:6">
      <c r="A56" s="146">
        <v>0.02</v>
      </c>
      <c r="B56" s="148">
        <f t="dataTable" ref="B56:F60" dt2D="1" dtr="1" r1="H47" r2="H46"/>
        <v>82.226975180470575</v>
      </c>
      <c r="C56" s="148">
        <v>88.797399812470573</v>
      </c>
      <c r="D56" s="148">
        <v>95.367824444470571</v>
      </c>
      <c r="E56" s="148">
        <v>101.93824907647057</v>
      </c>
      <c r="F56" s="148">
        <v>108.50867370847057</v>
      </c>
    </row>
    <row r="57" spans="1:6">
      <c r="A57" s="146">
        <v>0.04</v>
      </c>
      <c r="B57" s="148">
        <v>83.450877807999987</v>
      </c>
      <c r="C57" s="148">
        <v>90.150134295529398</v>
      </c>
      <c r="D57" s="148">
        <v>96.849390783058823</v>
      </c>
      <c r="E57" s="148">
        <v>103.54864727058822</v>
      </c>
      <c r="F57" s="148">
        <v>110.24790375811763</v>
      </c>
    </row>
    <row r="58" spans="1:6">
      <c r="A58" s="146">
        <v>0.06</v>
      </c>
      <c r="B58" s="148">
        <v>84.674780435529399</v>
      </c>
      <c r="C58" s="148">
        <v>91.502868778588223</v>
      </c>
      <c r="D58" s="150">
        <v>98.33095712164706</v>
      </c>
      <c r="E58" s="148">
        <v>105.15904546470588</v>
      </c>
      <c r="F58" s="148">
        <v>111.98713380776471</v>
      </c>
    </row>
    <row r="59" spans="1:6">
      <c r="A59" s="146">
        <v>0.08</v>
      </c>
      <c r="B59" s="148">
        <v>85.898683063058812</v>
      </c>
      <c r="C59" s="148">
        <v>92.855603261647047</v>
      </c>
      <c r="D59" s="148">
        <v>99.812523460235283</v>
      </c>
      <c r="E59" s="148">
        <v>106.76944365882352</v>
      </c>
      <c r="F59" s="148">
        <v>113.72636385741177</v>
      </c>
    </row>
    <row r="60" spans="1:6">
      <c r="A60" s="146">
        <v>0.1</v>
      </c>
      <c r="B60" s="148">
        <v>87.122585690588224</v>
      </c>
      <c r="C60" s="148">
        <v>94.208337744705872</v>
      </c>
      <c r="D60" s="148">
        <v>101.29408979882352</v>
      </c>
      <c r="E60" s="148">
        <v>108.37984185294117</v>
      </c>
      <c r="F60" s="148">
        <v>115.46559390705882</v>
      </c>
    </row>
  </sheetData>
  <mergeCells count="7">
    <mergeCell ref="A54:F54"/>
    <mergeCell ref="A27:D27"/>
    <mergeCell ref="A36:F36"/>
    <mergeCell ref="A45:F45"/>
    <mergeCell ref="A1:E1"/>
    <mergeCell ref="A2:E2"/>
    <mergeCell ref="A13:D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9605-7C85-4740-BA72-8E7C80B2C96C}">
  <sheetPr>
    <tabColor rgb="FF92D050"/>
  </sheetPr>
  <dimension ref="A1:H101"/>
  <sheetViews>
    <sheetView topLeftCell="A57" zoomScale="87" workbookViewId="0">
      <selection activeCell="B96" sqref="B96"/>
    </sheetView>
  </sheetViews>
  <sheetFormatPr defaultRowHeight="14.5"/>
  <cols>
    <col min="1" max="2" width="23.7265625" style="104" bestFit="1" customWidth="1"/>
    <col min="3" max="3" width="21.36328125" style="104" bestFit="1" customWidth="1"/>
    <col min="4" max="4" width="11.81640625" style="104" bestFit="1" customWidth="1"/>
    <col min="5" max="5" width="12.453125" style="104" bestFit="1" customWidth="1"/>
    <col min="6" max="6" width="6.90625" style="104" bestFit="1" customWidth="1"/>
    <col min="7" max="16384" width="8.7265625" style="104"/>
  </cols>
  <sheetData>
    <row r="1" spans="1:4">
      <c r="A1" s="172" t="str">
        <f>"DCF MODEL- "&amp; 'Data Sheet'!B1</f>
        <v>DCF MODEL- ESCORTS KUBOTA LTD</v>
      </c>
      <c r="B1" s="172"/>
      <c r="C1" s="172"/>
      <c r="D1" s="172"/>
    </row>
    <row r="2" spans="1:4">
      <c r="A2" s="172" t="s">
        <v>394</v>
      </c>
      <c r="B2" s="172"/>
      <c r="C2" s="172"/>
      <c r="D2" s="172"/>
    </row>
    <row r="4" spans="1:4">
      <c r="A4" s="172" t="s">
        <v>395</v>
      </c>
      <c r="B4" s="172"/>
      <c r="C4" s="165"/>
    </row>
    <row r="5" spans="1:4">
      <c r="A5" s="104" t="s">
        <v>396</v>
      </c>
      <c r="B5" s="161">
        <f>WACC!L39</f>
        <v>0.13483027974255832</v>
      </c>
    </row>
    <row r="6" spans="1:4">
      <c r="A6" s="104" t="s">
        <v>397</v>
      </c>
      <c r="B6" s="162">
        <v>0.04</v>
      </c>
    </row>
    <row r="7" spans="1:4">
      <c r="A7" s="104" t="s">
        <v>398</v>
      </c>
      <c r="B7" s="161">
        <f>'RATIO ANALYSIS'!K18</f>
        <v>8.9862434936762076E-2</v>
      </c>
    </row>
    <row r="8" spans="1:4">
      <c r="A8" s="104" t="s">
        <v>399</v>
      </c>
      <c r="B8" s="161">
        <f>'RATIO ANALYSIS'!K17</f>
        <v>2.37849330527105E-2</v>
      </c>
    </row>
    <row r="9" spans="1:4">
      <c r="A9" s="104" t="s">
        <v>400</v>
      </c>
      <c r="B9" s="161">
        <f>ABS(CFS!M11/'HISTORICAL FS'!L5)</f>
        <v>2.4111957578573744E-2</v>
      </c>
    </row>
    <row r="10" spans="1:4">
      <c r="A10" s="104" t="s">
        <v>401</v>
      </c>
      <c r="B10" s="163">
        <f>('Data Sheet'!K67+'Data Sheet'!K68-('Data Sheet'!K60-'Data Sheet'!K59))/'HISTORICAL FS'!L5</f>
        <v>2.0822188467650903E-2</v>
      </c>
    </row>
    <row r="11" spans="1:4">
      <c r="A11" s="104" t="s">
        <v>272</v>
      </c>
      <c r="B11" s="161">
        <f>WACC!E23</f>
        <v>0.25169999999999998</v>
      </c>
    </row>
    <row r="12" spans="1:4">
      <c r="A12" s="104" t="s">
        <v>405</v>
      </c>
      <c r="B12" s="104">
        <f>'Data Sheet'!K69-'Data Sheet'!K59</f>
        <v>1018.95</v>
      </c>
    </row>
    <row r="13" spans="1:4">
      <c r="A13" s="104" t="s">
        <v>402</v>
      </c>
      <c r="B13" s="163">
        <f>'Data Sheet'!B6</f>
        <v>11.18777979431337</v>
      </c>
    </row>
    <row r="14" spans="1:4">
      <c r="A14" s="104" t="s">
        <v>403</v>
      </c>
      <c r="B14" s="104">
        <f>'Data Sheet'!B8</f>
        <v>3306</v>
      </c>
    </row>
    <row r="15" spans="1:4">
      <c r="A15" s="104" t="s">
        <v>404</v>
      </c>
      <c r="B15" s="168">
        <f>12</f>
        <v>12</v>
      </c>
    </row>
    <row r="17" spans="1:2">
      <c r="A17" s="172" t="s">
        <v>406</v>
      </c>
      <c r="B17" s="172"/>
    </row>
    <row r="18" spans="1:2">
      <c r="A18" s="167" t="s">
        <v>373</v>
      </c>
      <c r="B18" s="167" t="s">
        <v>412</v>
      </c>
    </row>
    <row r="19" spans="1:2">
      <c r="A19" s="104" t="s">
        <v>407</v>
      </c>
      <c r="B19" s="104">
        <f>FORECASTING!D14</f>
        <v>10815.793333333335</v>
      </c>
    </row>
    <row r="20" spans="1:2">
      <c r="A20" s="104" t="s">
        <v>408</v>
      </c>
      <c r="B20" s="104">
        <f>FORECASTING!D15</f>
        <v>11555.355757575759</v>
      </c>
    </row>
    <row r="21" spans="1:2">
      <c r="A21" s="104" t="s">
        <v>409</v>
      </c>
      <c r="B21" s="104">
        <f>FORECASTING!D16</f>
        <v>12294.918181818182</v>
      </c>
    </row>
    <row r="22" spans="1:2">
      <c r="A22" s="104" t="s">
        <v>410</v>
      </c>
      <c r="B22" s="104">
        <f>FORECASTING!D17</f>
        <v>13034.480606060606</v>
      </c>
    </row>
    <row r="23" spans="1:2">
      <c r="A23" s="104" t="s">
        <v>411</v>
      </c>
      <c r="B23" s="104">
        <f>FORECASTING!D18</f>
        <v>13774.04303030303</v>
      </c>
    </row>
    <row r="25" spans="1:2">
      <c r="A25" s="172" t="s">
        <v>413</v>
      </c>
      <c r="B25" s="172"/>
    </row>
    <row r="26" spans="1:2">
      <c r="A26" s="167" t="s">
        <v>373</v>
      </c>
      <c r="B26" s="167" t="s">
        <v>412</v>
      </c>
    </row>
    <row r="27" spans="1:2">
      <c r="A27" s="104" t="s">
        <v>407</v>
      </c>
      <c r="B27" s="104">
        <f>B19*$B$7</f>
        <v>971.93352470613183</v>
      </c>
    </row>
    <row r="28" spans="1:2">
      <c r="A28" s="104" t="s">
        <v>408</v>
      </c>
      <c r="B28" s="104">
        <f t="shared" ref="B28:B31" si="0">B20*$B$7</f>
        <v>1038.3924049362906</v>
      </c>
    </row>
    <row r="29" spans="1:2">
      <c r="A29" s="104" t="s">
        <v>409</v>
      </c>
      <c r="B29" s="104">
        <f>B21*$B$7</f>
        <v>1104.8512851664495</v>
      </c>
    </row>
    <row r="30" spans="1:2">
      <c r="A30" s="104" t="s">
        <v>410</v>
      </c>
      <c r="B30" s="104">
        <f t="shared" si="0"/>
        <v>1171.3101653966082</v>
      </c>
    </row>
    <row r="31" spans="1:2">
      <c r="A31" s="104" t="s">
        <v>411</v>
      </c>
      <c r="B31" s="104">
        <f t="shared" si="0"/>
        <v>1237.7690456267671</v>
      </c>
    </row>
    <row r="33" spans="1:3">
      <c r="A33" s="172" t="s">
        <v>427</v>
      </c>
      <c r="B33" s="172"/>
    </row>
    <row r="34" spans="1:3">
      <c r="A34" s="167" t="s">
        <v>373</v>
      </c>
      <c r="B34" s="167" t="s">
        <v>412</v>
      </c>
    </row>
    <row r="35" spans="1:3">
      <c r="A35" s="104" t="s">
        <v>407</v>
      </c>
      <c r="B35" s="104">
        <f>B27*(1-$B$11)</f>
        <v>727.29785653759836</v>
      </c>
    </row>
    <row r="36" spans="1:3">
      <c r="A36" s="104" t="s">
        <v>408</v>
      </c>
      <c r="B36" s="104">
        <f t="shared" ref="B36:B39" si="1">B28*(1-$B$11)</f>
        <v>777.02903661382629</v>
      </c>
    </row>
    <row r="37" spans="1:3">
      <c r="A37" s="104" t="s">
        <v>409</v>
      </c>
      <c r="B37" s="104">
        <f t="shared" si="1"/>
        <v>826.76021669005411</v>
      </c>
    </row>
    <row r="38" spans="1:3">
      <c r="A38" s="104" t="s">
        <v>410</v>
      </c>
      <c r="B38" s="104">
        <f t="shared" si="1"/>
        <v>876.49139676628192</v>
      </c>
    </row>
    <row r="39" spans="1:3">
      <c r="A39" s="104" t="s">
        <v>411</v>
      </c>
      <c r="B39" s="104">
        <f t="shared" si="1"/>
        <v>926.22257684250985</v>
      </c>
    </row>
    <row r="41" spans="1:3">
      <c r="A41" s="172" t="s">
        <v>416</v>
      </c>
      <c r="B41" s="172"/>
      <c r="C41" s="172"/>
    </row>
    <row r="42" spans="1:3">
      <c r="A42" s="167" t="s">
        <v>373</v>
      </c>
      <c r="B42" s="167" t="s">
        <v>412</v>
      </c>
    </row>
    <row r="43" spans="1:3">
      <c r="A43" s="104" t="s">
        <v>407</v>
      </c>
      <c r="B43" s="104">
        <f>B19*$B$8</f>
        <v>257.25292034528593</v>
      </c>
    </row>
    <row r="44" spans="1:3">
      <c r="A44" s="104" t="s">
        <v>408</v>
      </c>
      <c r="B44" s="104">
        <f t="shared" ref="B44:B47" si="2">B20*$B$8</f>
        <v>274.84336309419223</v>
      </c>
    </row>
    <row r="45" spans="1:3">
      <c r="A45" s="104" t="s">
        <v>409</v>
      </c>
      <c r="B45" s="104">
        <f t="shared" si="2"/>
        <v>292.43380584309858</v>
      </c>
    </row>
    <row r="46" spans="1:3">
      <c r="A46" s="104" t="s">
        <v>410</v>
      </c>
      <c r="B46" s="104">
        <f>B22*$B$8</f>
        <v>310.02424859200488</v>
      </c>
    </row>
    <row r="47" spans="1:3">
      <c r="A47" s="104" t="s">
        <v>411</v>
      </c>
      <c r="B47" s="104">
        <f t="shared" si="2"/>
        <v>327.61469134091124</v>
      </c>
    </row>
    <row r="49" spans="1:4">
      <c r="A49" s="172" t="s">
        <v>415</v>
      </c>
      <c r="B49" s="172"/>
    </row>
    <row r="50" spans="1:4">
      <c r="A50" s="167" t="s">
        <v>373</v>
      </c>
      <c r="B50" s="167" t="s">
        <v>412</v>
      </c>
    </row>
    <row r="51" spans="1:4">
      <c r="A51" s="104" t="s">
        <v>407</v>
      </c>
      <c r="B51" s="104">
        <f>-(B19*B$9)</f>
        <v>-260.78995003195411</v>
      </c>
    </row>
    <row r="52" spans="1:4">
      <c r="A52" s="104" t="s">
        <v>408</v>
      </c>
      <c r="B52" s="104">
        <f t="shared" ref="B52:B55" si="3">-(B20*B$9)</f>
        <v>-278.62224783199457</v>
      </c>
    </row>
    <row r="53" spans="1:4">
      <c r="A53" s="104" t="s">
        <v>409</v>
      </c>
      <c r="B53" s="104">
        <f>-(B21*B$9)</f>
        <v>-296.45454563203504</v>
      </c>
    </row>
    <row r="54" spans="1:4">
      <c r="A54" s="104" t="s">
        <v>410</v>
      </c>
      <c r="B54" s="104">
        <f t="shared" si="3"/>
        <v>-314.2868434320755</v>
      </c>
    </row>
    <row r="55" spans="1:4">
      <c r="A55" s="104" t="s">
        <v>411</v>
      </c>
      <c r="B55" s="104">
        <f t="shared" si="3"/>
        <v>-332.11914123211602</v>
      </c>
    </row>
    <row r="57" spans="1:4">
      <c r="A57" s="172" t="s">
        <v>417</v>
      </c>
      <c r="B57" s="172"/>
      <c r="C57" s="172"/>
    </row>
    <row r="58" spans="1:4">
      <c r="A58" s="167" t="s">
        <v>373</v>
      </c>
      <c r="B58" s="167" t="s">
        <v>412</v>
      </c>
      <c r="C58" s="167" t="s">
        <v>419</v>
      </c>
    </row>
    <row r="59" spans="1:4">
      <c r="A59" s="84" t="s">
        <v>418</v>
      </c>
      <c r="B59" s="166">
        <f>FORECASTING!D13*DCF!B10</f>
        <v>213.2999999999997</v>
      </c>
      <c r="C59" s="104" t="s">
        <v>97</v>
      </c>
    </row>
    <row r="60" spans="1:4">
      <c r="A60" s="104" t="s">
        <v>407</v>
      </c>
      <c r="B60" s="163">
        <f>B19*B$10</f>
        <v>225.20848721382887</v>
      </c>
      <c r="C60" s="163">
        <f>-(B60-B59)</f>
        <v>-11.908487213829176</v>
      </c>
      <c r="D60" s="163"/>
    </row>
    <row r="61" spans="1:4">
      <c r="A61" s="104" t="s">
        <v>408</v>
      </c>
      <c r="B61" s="163">
        <f>B20*B$10</f>
        <v>240.60779539499742</v>
      </c>
      <c r="C61" s="163">
        <f t="shared" ref="C61:C64" si="4">-(B61-B60)</f>
        <v>-15.39930818116855</v>
      </c>
      <c r="D61" s="163"/>
    </row>
    <row r="62" spans="1:4">
      <c r="A62" s="104" t="s">
        <v>409</v>
      </c>
      <c r="B62" s="163">
        <f>B21*B$10</f>
        <v>256.00710357616595</v>
      </c>
      <c r="C62" s="163">
        <f t="shared" si="4"/>
        <v>-15.399308181168522</v>
      </c>
      <c r="D62" s="163"/>
    </row>
    <row r="63" spans="1:4">
      <c r="A63" s="104" t="s">
        <v>410</v>
      </c>
      <c r="B63" s="163">
        <f>B22*B$10</f>
        <v>271.40641175733452</v>
      </c>
      <c r="C63" s="163">
        <f t="shared" si="4"/>
        <v>-15.399308181168578</v>
      </c>
      <c r="D63" s="163"/>
    </row>
    <row r="64" spans="1:4">
      <c r="A64" s="104" t="s">
        <v>411</v>
      </c>
      <c r="B64" s="163">
        <f>B23*B$10</f>
        <v>286.80571993850305</v>
      </c>
      <c r="C64" s="163">
        <f t="shared" si="4"/>
        <v>-15.399308181168522</v>
      </c>
      <c r="D64" s="163"/>
    </row>
    <row r="66" spans="1:8">
      <c r="A66" s="172" t="s">
        <v>420</v>
      </c>
      <c r="B66" s="172"/>
      <c r="C66" s="172"/>
      <c r="D66" s="172"/>
      <c r="E66" s="172"/>
      <c r="F66" s="172"/>
      <c r="G66" s="172"/>
    </row>
    <row r="67" spans="1:8">
      <c r="A67" s="167" t="s">
        <v>421</v>
      </c>
      <c r="B67" s="167" t="s">
        <v>422</v>
      </c>
      <c r="C67" s="167" t="s">
        <v>414</v>
      </c>
      <c r="D67" s="167" t="s">
        <v>423</v>
      </c>
      <c r="E67" s="167" t="s">
        <v>424</v>
      </c>
      <c r="F67" s="167" t="s">
        <v>425</v>
      </c>
      <c r="G67" s="167" t="s">
        <v>426</v>
      </c>
    </row>
    <row r="68" spans="1:8">
      <c r="A68" s="104" t="s">
        <v>407</v>
      </c>
      <c r="B68" s="104">
        <f>B19</f>
        <v>10815.793333333335</v>
      </c>
      <c r="C68" s="104">
        <f>B35</f>
        <v>727.29785653759836</v>
      </c>
      <c r="D68" s="104">
        <f>B43</f>
        <v>257.25292034528593</v>
      </c>
      <c r="E68" s="104">
        <f>B51</f>
        <v>-260.78995003195411</v>
      </c>
      <c r="F68" s="163">
        <f>C60</f>
        <v>-11.908487213829176</v>
      </c>
      <c r="G68" s="163">
        <f>C68+D68+(E68)+(F68)</f>
        <v>711.85233963710107</v>
      </c>
      <c r="H68" s="163"/>
    </row>
    <row r="69" spans="1:8">
      <c r="A69" s="104" t="s">
        <v>408</v>
      </c>
      <c r="B69" s="104">
        <f t="shared" ref="B69:B71" si="5">B20</f>
        <v>11555.355757575759</v>
      </c>
      <c r="C69" s="104">
        <f t="shared" ref="C69:C72" si="6">B36</f>
        <v>777.02903661382629</v>
      </c>
      <c r="D69" s="104">
        <f t="shared" ref="D69:D72" si="7">B44</f>
        <v>274.84336309419223</v>
      </c>
      <c r="E69" s="104">
        <f t="shared" ref="E69:E72" si="8">B52</f>
        <v>-278.62224783199457</v>
      </c>
      <c r="F69" s="163">
        <f t="shared" ref="F69:F72" si="9">C61</f>
        <v>-15.39930818116855</v>
      </c>
      <c r="G69" s="163">
        <f t="shared" ref="G69:G72" si="10">C69+D69+(E69)+(F69)</f>
        <v>757.85084369485537</v>
      </c>
    </row>
    <row r="70" spans="1:8">
      <c r="A70" s="104" t="s">
        <v>409</v>
      </c>
      <c r="B70" s="104">
        <f>B21</f>
        <v>12294.918181818182</v>
      </c>
      <c r="C70" s="104">
        <f t="shared" si="6"/>
        <v>826.76021669005411</v>
      </c>
      <c r="D70" s="104">
        <f t="shared" si="7"/>
        <v>292.43380584309858</v>
      </c>
      <c r="E70" s="104">
        <f t="shared" si="8"/>
        <v>-296.45454563203504</v>
      </c>
      <c r="F70" s="163">
        <f t="shared" si="9"/>
        <v>-15.399308181168522</v>
      </c>
      <c r="G70" s="163">
        <f t="shared" si="10"/>
        <v>807.34016871994925</v>
      </c>
    </row>
    <row r="71" spans="1:8">
      <c r="A71" s="104" t="s">
        <v>410</v>
      </c>
      <c r="B71" s="104">
        <f t="shared" si="5"/>
        <v>13034.480606060606</v>
      </c>
      <c r="C71" s="104">
        <f t="shared" si="6"/>
        <v>876.49139676628192</v>
      </c>
      <c r="D71" s="104">
        <f t="shared" si="7"/>
        <v>310.02424859200488</v>
      </c>
      <c r="E71" s="104">
        <f t="shared" si="8"/>
        <v>-314.2868434320755</v>
      </c>
      <c r="F71" s="163">
        <f t="shared" si="9"/>
        <v>-15.399308181168578</v>
      </c>
      <c r="G71" s="163">
        <f t="shared" si="10"/>
        <v>856.82949374504256</v>
      </c>
    </row>
    <row r="72" spans="1:8">
      <c r="A72" s="104" t="s">
        <v>411</v>
      </c>
      <c r="B72" s="104">
        <f>B23</f>
        <v>13774.04303030303</v>
      </c>
      <c r="C72" s="104">
        <f t="shared" si="6"/>
        <v>926.22257684250985</v>
      </c>
      <c r="D72" s="104">
        <f t="shared" si="7"/>
        <v>327.61469134091124</v>
      </c>
      <c r="E72" s="104">
        <f t="shared" si="8"/>
        <v>-332.11914123211602</v>
      </c>
      <c r="F72" s="163">
        <f t="shared" si="9"/>
        <v>-15.399308181168522</v>
      </c>
      <c r="G72" s="163">
        <f t="shared" si="10"/>
        <v>906.31881877013666</v>
      </c>
    </row>
    <row r="74" spans="1:8">
      <c r="A74" s="172" t="s">
        <v>428</v>
      </c>
      <c r="B74" s="172"/>
      <c r="C74" s="172"/>
      <c r="D74" s="172"/>
    </row>
    <row r="75" spans="1:8">
      <c r="A75" s="167" t="s">
        <v>421</v>
      </c>
      <c r="B75" s="167" t="s">
        <v>429</v>
      </c>
      <c r="C75" s="167" t="s">
        <v>430</v>
      </c>
      <c r="D75" s="167" t="s">
        <v>431</v>
      </c>
    </row>
    <row r="76" spans="1:8">
      <c r="A76" s="104" t="s">
        <v>407</v>
      </c>
      <c r="B76" s="104">
        <v>1</v>
      </c>
      <c r="C76" s="104">
        <f>1/(1+$B$5)^B76</f>
        <v>0.88118903579736596</v>
      </c>
      <c r="D76" s="163">
        <f>G68*C76</f>
        <v>627.27647679491622</v>
      </c>
    </row>
    <row r="77" spans="1:8">
      <c r="A77" s="104" t="s">
        <v>408</v>
      </c>
      <c r="B77" s="104">
        <v>2</v>
      </c>
      <c r="C77" s="104">
        <f t="shared" ref="C77:C80" si="11">1/(1+$B$5)^B77</f>
        <v>0.77649411680949154</v>
      </c>
      <c r="D77" s="163">
        <f t="shared" ref="D77:D80" si="12">G69*C77</f>
        <v>588.46672154816474</v>
      </c>
    </row>
    <row r="78" spans="1:8">
      <c r="A78" s="104" t="s">
        <v>409</v>
      </c>
      <c r="B78" s="104">
        <v>3</v>
      </c>
      <c r="C78" s="104">
        <f t="shared" si="11"/>
        <v>0.68423810209368319</v>
      </c>
      <c r="D78" s="163">
        <f>G70*C78</f>
        <v>552.412904788932</v>
      </c>
    </row>
    <row r="79" spans="1:8">
      <c r="A79" s="104" t="s">
        <v>410</v>
      </c>
      <c r="B79" s="104">
        <v>4</v>
      </c>
      <c r="C79" s="104">
        <f>1/(1+$B$5)^B79</f>
        <v>0.60294311343975238</v>
      </c>
      <c r="D79" s="163">
        <f t="shared" si="12"/>
        <v>516.61944264564283</v>
      </c>
    </row>
    <row r="80" spans="1:8">
      <c r="A80" s="104" t="s">
        <v>411</v>
      </c>
      <c r="B80" s="104">
        <v>5</v>
      </c>
      <c r="C80" s="104">
        <f t="shared" si="11"/>
        <v>0.53130686077263722</v>
      </c>
      <c r="D80" s="163">
        <f t="shared" si="12"/>
        <v>481.53340645992603</v>
      </c>
    </row>
    <row r="82" spans="1:3">
      <c r="A82" s="172" t="s">
        <v>432</v>
      </c>
      <c r="B82" s="172"/>
      <c r="C82" s="172"/>
    </row>
    <row r="83" spans="1:3">
      <c r="B83" s="167" t="s">
        <v>432</v>
      </c>
      <c r="C83" s="167" t="s">
        <v>433</v>
      </c>
    </row>
    <row r="84" spans="1:3">
      <c r="A84" s="84" t="s">
        <v>434</v>
      </c>
      <c r="B84" s="163">
        <f>G72*(1+B6)/(B5-B6)</f>
        <v>9939.5633344096441</v>
      </c>
      <c r="C84" s="164">
        <f>B84/(1+B5)^5</f>
        <v>5280.958192655994</v>
      </c>
    </row>
    <row r="85" spans="1:3">
      <c r="A85" s="84" t="s">
        <v>435</v>
      </c>
      <c r="B85" s="120">
        <f>'HISTORICAL FS'!L18*DCF!B23*DCF!B15</f>
        <v>18784.604843612138</v>
      </c>
      <c r="C85" s="120">
        <f>B85/(1+B5)^5</f>
        <v>9980.3894303140405</v>
      </c>
    </row>
    <row r="87" spans="1:3">
      <c r="B87" s="172" t="s">
        <v>436</v>
      </c>
      <c r="C87" s="172"/>
    </row>
    <row r="88" spans="1:3">
      <c r="A88" s="84"/>
      <c r="B88" s="167" t="s">
        <v>434</v>
      </c>
      <c r="C88" s="167" t="s">
        <v>435</v>
      </c>
    </row>
    <row r="89" spans="1:3">
      <c r="A89" s="84" t="s">
        <v>437</v>
      </c>
      <c r="B89" s="163">
        <f>SUM(D76:D80)</f>
        <v>2766.3089522375817</v>
      </c>
      <c r="C89" s="163">
        <f>SUM(D76:D80)</f>
        <v>2766.3089522375817</v>
      </c>
    </row>
    <row r="90" spans="1:3">
      <c r="A90" s="104" t="s">
        <v>438</v>
      </c>
      <c r="B90" s="163">
        <f>C84</f>
        <v>5280.958192655994</v>
      </c>
      <c r="C90" s="120">
        <f>C85</f>
        <v>9980.3894303140405</v>
      </c>
    </row>
    <row r="91" spans="1:3">
      <c r="A91" s="104" t="s">
        <v>439</v>
      </c>
      <c r="B91" s="163">
        <f>SUM(B89:B90)</f>
        <v>8047.2671448935762</v>
      </c>
      <c r="C91" s="163">
        <f>SUM(C89:C90)</f>
        <v>12746.698382551622</v>
      </c>
    </row>
    <row r="92" spans="1:3">
      <c r="A92" s="104" t="s">
        <v>442</v>
      </c>
      <c r="B92" s="131">
        <f>B90/B91</f>
        <v>0.65624243579474628</v>
      </c>
      <c r="C92" s="131">
        <f>C90/C91</f>
        <v>0.78297839415230408</v>
      </c>
    </row>
    <row r="93" spans="1:3">
      <c r="C93" s="131"/>
    </row>
    <row r="94" spans="1:3">
      <c r="A94" s="172" t="s">
        <v>440</v>
      </c>
      <c r="B94" s="172"/>
    </row>
    <row r="95" spans="1:3">
      <c r="A95" s="167" t="s">
        <v>434</v>
      </c>
      <c r="B95" s="167" t="s">
        <v>435</v>
      </c>
    </row>
    <row r="96" spans="1:3">
      <c r="A96" s="163">
        <f>B91+B12</f>
        <v>9066.2171448935769</v>
      </c>
      <c r="B96" s="163">
        <f>C91+B12</f>
        <v>13765.648382551622</v>
      </c>
    </row>
    <row r="98" spans="1:2">
      <c r="A98" s="176" t="s">
        <v>441</v>
      </c>
      <c r="B98" s="176"/>
    </row>
    <row r="99" spans="1:2">
      <c r="A99" s="167" t="s">
        <v>434</v>
      </c>
      <c r="B99" s="167" t="s">
        <v>435</v>
      </c>
    </row>
    <row r="100" spans="1:2">
      <c r="A100" s="104">
        <f>A96/B13</f>
        <v>810.36785774974226</v>
      </c>
      <c r="B100" s="104">
        <f>B96/B13</f>
        <v>1230.4182452311545</v>
      </c>
    </row>
    <row r="101" spans="1:2">
      <c r="A101" s="104">
        <f>(B14-A100)/A100</f>
        <v>3.0796287369790507</v>
      </c>
      <c r="B101" s="104">
        <f>(B14-B100)/B100</f>
        <v>1.6868912362226174</v>
      </c>
    </row>
  </sheetData>
  <mergeCells count="15">
    <mergeCell ref="A94:B94"/>
    <mergeCell ref="A98:B98"/>
    <mergeCell ref="A66:G66"/>
    <mergeCell ref="A74:D74"/>
    <mergeCell ref="B87:C87"/>
    <mergeCell ref="A82:C82"/>
    <mergeCell ref="A1:D1"/>
    <mergeCell ref="A2:D2"/>
    <mergeCell ref="A41:C41"/>
    <mergeCell ref="A49:B49"/>
    <mergeCell ref="A57:C57"/>
    <mergeCell ref="A17:B17"/>
    <mergeCell ref="A4:B4"/>
    <mergeCell ref="A25:B25"/>
    <mergeCell ref="A33:B3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1DA2-8F51-4360-BAE2-B0A5DD9B950E}">
  <sheetPr>
    <tabColor rgb="FF92D050"/>
  </sheetPr>
  <dimension ref="A1:AC28"/>
  <sheetViews>
    <sheetView workbookViewId="0">
      <selection activeCell="M11" sqref="M11"/>
    </sheetView>
  </sheetViews>
  <sheetFormatPr defaultRowHeight="14.5"/>
  <cols>
    <col min="1" max="1" width="25.81640625" bestFit="1" customWidth="1"/>
  </cols>
  <sheetData>
    <row r="1" spans="1:29">
      <c r="A1" s="49"/>
      <c r="B1" s="49">
        <v>41699</v>
      </c>
      <c r="C1" s="49">
        <v>42064</v>
      </c>
      <c r="D1" s="49">
        <v>42430</v>
      </c>
      <c r="E1" s="49">
        <v>42795</v>
      </c>
      <c r="F1" s="49">
        <v>43160</v>
      </c>
      <c r="G1" s="49">
        <v>43525</v>
      </c>
      <c r="H1" s="49">
        <v>43891</v>
      </c>
      <c r="I1" s="49">
        <v>44256</v>
      </c>
      <c r="J1" s="49">
        <v>44621</v>
      </c>
      <c r="K1" s="49">
        <v>44986</v>
      </c>
      <c r="L1" s="49">
        <v>45352</v>
      </c>
      <c r="M1" s="49">
        <v>45717</v>
      </c>
    </row>
    <row r="2" spans="1:29">
      <c r="A2" t="s">
        <v>139</v>
      </c>
      <c r="B2">
        <v>347</v>
      </c>
      <c r="C2">
        <v>2</v>
      </c>
      <c r="D2">
        <v>222</v>
      </c>
      <c r="E2">
        <v>301</v>
      </c>
      <c r="F2">
        <v>472</v>
      </c>
      <c r="G2">
        <v>-241</v>
      </c>
      <c r="H2">
        <v>817</v>
      </c>
      <c r="I2" s="50">
        <v>1119</v>
      </c>
      <c r="J2">
        <v>41</v>
      </c>
      <c r="K2">
        <v>236</v>
      </c>
      <c r="L2">
        <v>795</v>
      </c>
      <c r="M2" s="50">
        <v>1207</v>
      </c>
    </row>
    <row r="3" spans="1:29">
      <c r="A3" t="s">
        <v>140</v>
      </c>
      <c r="B3">
        <v>379</v>
      </c>
      <c r="C3">
        <v>137</v>
      </c>
      <c r="D3">
        <v>178</v>
      </c>
      <c r="E3">
        <v>305</v>
      </c>
      <c r="F3">
        <v>578</v>
      </c>
      <c r="G3">
        <v>727</v>
      </c>
      <c r="H3">
        <v>647</v>
      </c>
      <c r="I3" s="50">
        <v>1111</v>
      </c>
      <c r="J3">
        <v>936</v>
      </c>
      <c r="K3">
        <v>815</v>
      </c>
      <c r="L3" s="50">
        <v>1375</v>
      </c>
      <c r="M3" s="50">
        <v>1416</v>
      </c>
    </row>
    <row r="4" spans="1:29">
      <c r="A4" t="s">
        <v>78</v>
      </c>
      <c r="B4">
        <v>112</v>
      </c>
      <c r="C4">
        <v>-69</v>
      </c>
      <c r="D4">
        <v>-15</v>
      </c>
      <c r="E4">
        <v>-79</v>
      </c>
      <c r="F4">
        <v>-143</v>
      </c>
      <c r="G4">
        <v>-324</v>
      </c>
      <c r="H4">
        <v>170</v>
      </c>
      <c r="I4">
        <v>47</v>
      </c>
      <c r="J4">
        <v>-142</v>
      </c>
      <c r="K4">
        <v>-384</v>
      </c>
      <c r="L4">
        <v>-51</v>
      </c>
      <c r="M4">
        <v>-179</v>
      </c>
    </row>
    <row r="5" spans="1:29">
      <c r="A5" t="s">
        <v>45</v>
      </c>
      <c r="B5">
        <v>-59</v>
      </c>
      <c r="C5">
        <v>81</v>
      </c>
      <c r="D5">
        <v>22</v>
      </c>
      <c r="E5">
        <v>-57</v>
      </c>
      <c r="F5">
        <v>-123</v>
      </c>
      <c r="G5">
        <v>-275</v>
      </c>
      <c r="H5">
        <v>0</v>
      </c>
      <c r="I5">
        <v>148</v>
      </c>
      <c r="J5">
        <v>-129</v>
      </c>
      <c r="K5">
        <v>-355</v>
      </c>
      <c r="L5">
        <v>-123</v>
      </c>
      <c r="M5">
        <v>163</v>
      </c>
    </row>
    <row r="6" spans="1:29">
      <c r="A6" t="s">
        <v>141</v>
      </c>
      <c r="B6">
        <v>-30</v>
      </c>
      <c r="C6">
        <v>-128</v>
      </c>
      <c r="D6">
        <v>42</v>
      </c>
      <c r="E6">
        <v>155</v>
      </c>
      <c r="F6">
        <v>347</v>
      </c>
      <c r="G6">
        <v>-1</v>
      </c>
      <c r="H6">
        <v>87</v>
      </c>
      <c r="I6">
        <v>-20</v>
      </c>
      <c r="J6">
        <v>-255</v>
      </c>
      <c r="K6">
        <v>357</v>
      </c>
      <c r="L6">
        <v>-98</v>
      </c>
      <c r="M6">
        <v>81</v>
      </c>
    </row>
    <row r="7" spans="1:29">
      <c r="A7" t="s">
        <v>142</v>
      </c>
      <c r="B7">
        <v>0</v>
      </c>
      <c r="C7">
        <v>0</v>
      </c>
      <c r="D7">
        <v>-13</v>
      </c>
      <c r="E7">
        <v>21</v>
      </c>
      <c r="F7">
        <v>-85</v>
      </c>
      <c r="G7">
        <v>-152</v>
      </c>
      <c r="H7">
        <v>86</v>
      </c>
      <c r="I7">
        <v>86</v>
      </c>
      <c r="J7">
        <v>-116</v>
      </c>
      <c r="K7">
        <v>-10</v>
      </c>
      <c r="L7">
        <v>-65</v>
      </c>
      <c r="M7">
        <v>85</v>
      </c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</row>
    <row r="8" spans="1:29">
      <c r="A8" t="s">
        <v>143</v>
      </c>
      <c r="B8">
        <v>24</v>
      </c>
      <c r="C8">
        <v>-116</v>
      </c>
      <c r="D8">
        <v>36</v>
      </c>
      <c r="E8">
        <v>40</v>
      </c>
      <c r="F8">
        <v>-4</v>
      </c>
      <c r="G8">
        <v>-751</v>
      </c>
      <c r="H8">
        <v>344</v>
      </c>
      <c r="I8">
        <v>261</v>
      </c>
      <c r="J8">
        <v>-641</v>
      </c>
      <c r="K8">
        <v>-392</v>
      </c>
      <c r="L8">
        <v>-338</v>
      </c>
      <c r="M8">
        <v>150</v>
      </c>
    </row>
    <row r="9" spans="1:29">
      <c r="A9" t="s">
        <v>144</v>
      </c>
      <c r="B9">
        <v>-56</v>
      </c>
      <c r="C9">
        <v>-19</v>
      </c>
      <c r="D9">
        <v>8</v>
      </c>
      <c r="E9">
        <v>-44</v>
      </c>
      <c r="F9">
        <v>-102</v>
      </c>
      <c r="G9">
        <v>-217</v>
      </c>
      <c r="H9">
        <v>-174</v>
      </c>
      <c r="I9">
        <v>-253</v>
      </c>
      <c r="J9">
        <v>-254</v>
      </c>
      <c r="K9">
        <v>-186</v>
      </c>
      <c r="L9">
        <v>-241</v>
      </c>
      <c r="M9">
        <v>-358</v>
      </c>
    </row>
    <row r="10" spans="1:29">
      <c r="A10" t="s">
        <v>145</v>
      </c>
      <c r="B10">
        <v>-62</v>
      </c>
      <c r="C10">
        <v>19</v>
      </c>
      <c r="D10">
        <v>-25</v>
      </c>
      <c r="E10">
        <v>-140</v>
      </c>
      <c r="F10">
        <v>-378</v>
      </c>
      <c r="G10">
        <v>-14</v>
      </c>
      <c r="H10">
        <v>-429</v>
      </c>
      <c r="I10" s="50">
        <v>-2197</v>
      </c>
      <c r="J10" s="50">
        <v>-1871</v>
      </c>
      <c r="K10">
        <v>-68</v>
      </c>
      <c r="L10">
        <v>-765</v>
      </c>
      <c r="M10">
        <v>-403</v>
      </c>
    </row>
    <row r="11" spans="1:29">
      <c r="A11" t="s">
        <v>146</v>
      </c>
      <c r="B11">
        <v>-118</v>
      </c>
      <c r="C11">
        <v>-52</v>
      </c>
      <c r="D11">
        <v>-54</v>
      </c>
      <c r="E11">
        <v>-78</v>
      </c>
      <c r="F11">
        <v>-115</v>
      </c>
      <c r="G11">
        <v>-150</v>
      </c>
      <c r="H11">
        <v>-195</v>
      </c>
      <c r="I11">
        <v>-123</v>
      </c>
      <c r="J11">
        <v>-186</v>
      </c>
      <c r="K11">
        <v>-219</v>
      </c>
      <c r="L11">
        <v>-283</v>
      </c>
      <c r="M11">
        <v>-247</v>
      </c>
    </row>
    <row r="12" spans="1:29">
      <c r="A12" t="s">
        <v>147</v>
      </c>
      <c r="B12">
        <v>0</v>
      </c>
      <c r="C12">
        <v>0</v>
      </c>
      <c r="D12">
        <v>2</v>
      </c>
      <c r="E12">
        <v>13</v>
      </c>
      <c r="F12">
        <v>14</v>
      </c>
      <c r="G12">
        <v>11</v>
      </c>
      <c r="H12">
        <v>5</v>
      </c>
      <c r="I12">
        <v>9</v>
      </c>
      <c r="J12">
        <v>32</v>
      </c>
      <c r="K12">
        <v>5</v>
      </c>
      <c r="L12">
        <v>15</v>
      </c>
      <c r="M12">
        <v>9</v>
      </c>
    </row>
    <row r="13" spans="1:29">
      <c r="A13" t="s">
        <v>148</v>
      </c>
      <c r="B13">
        <v>0</v>
      </c>
      <c r="C13">
        <v>-2</v>
      </c>
      <c r="D13">
        <v>0</v>
      </c>
      <c r="E13">
        <v>-160</v>
      </c>
      <c r="F13">
        <v>-298</v>
      </c>
      <c r="G13">
        <v>0</v>
      </c>
      <c r="H13">
        <v>-211</v>
      </c>
      <c r="I13">
        <v>-978</v>
      </c>
      <c r="J13" s="50">
        <v>-2851</v>
      </c>
      <c r="K13">
        <v>-423</v>
      </c>
      <c r="L13">
        <v>-130</v>
      </c>
      <c r="M13">
        <v>-227</v>
      </c>
    </row>
    <row r="14" spans="1:29">
      <c r="A14" t="s">
        <v>149</v>
      </c>
      <c r="B14">
        <v>5</v>
      </c>
      <c r="C14">
        <v>0</v>
      </c>
      <c r="D14">
        <v>0</v>
      </c>
      <c r="E14">
        <v>0</v>
      </c>
      <c r="F14">
        <v>3</v>
      </c>
      <c r="G14">
        <v>178</v>
      </c>
      <c r="H14">
        <v>0</v>
      </c>
      <c r="I14">
        <v>0</v>
      </c>
      <c r="J14">
        <v>31</v>
      </c>
      <c r="K14">
        <v>667</v>
      </c>
      <c r="L14">
        <v>21</v>
      </c>
      <c r="M14">
        <v>25</v>
      </c>
    </row>
    <row r="15" spans="1:29">
      <c r="A15" t="s">
        <v>150</v>
      </c>
      <c r="B15">
        <v>72</v>
      </c>
      <c r="C15">
        <v>40</v>
      </c>
      <c r="D15">
        <v>30</v>
      </c>
      <c r="E15">
        <v>29</v>
      </c>
      <c r="F15">
        <v>25</v>
      </c>
      <c r="G15">
        <v>35</v>
      </c>
      <c r="H15">
        <v>43</v>
      </c>
      <c r="I15">
        <v>45</v>
      </c>
      <c r="J15">
        <v>105</v>
      </c>
      <c r="K15">
        <v>11</v>
      </c>
      <c r="L15">
        <v>21</v>
      </c>
      <c r="M15">
        <v>112</v>
      </c>
    </row>
    <row r="16" spans="1:29">
      <c r="A16" t="s">
        <v>151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152</v>
      </c>
      <c r="B17">
        <v>0</v>
      </c>
      <c r="C17">
        <v>0</v>
      </c>
      <c r="D17">
        <v>0</v>
      </c>
      <c r="E17">
        <v>0</v>
      </c>
      <c r="F17">
        <v>-17</v>
      </c>
      <c r="G17">
        <v>-104</v>
      </c>
      <c r="H17">
        <v>-63</v>
      </c>
      <c r="I17">
        <v>-120</v>
      </c>
      <c r="J17">
        <v>-19</v>
      </c>
      <c r="K17">
        <v>0</v>
      </c>
      <c r="L17">
        <v>-20</v>
      </c>
      <c r="M17">
        <v>-40</v>
      </c>
    </row>
    <row r="18" spans="1:13">
      <c r="A18" t="s">
        <v>153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154</v>
      </c>
      <c r="B19">
        <v>-21</v>
      </c>
      <c r="C19">
        <v>32</v>
      </c>
      <c r="D19">
        <v>-4</v>
      </c>
      <c r="E19">
        <v>56</v>
      </c>
      <c r="F19">
        <v>10</v>
      </c>
      <c r="G19">
        <v>17</v>
      </c>
      <c r="H19">
        <v>-9</v>
      </c>
      <c r="I19" s="50">
        <v>-1031</v>
      </c>
      <c r="J19" s="50">
        <v>1017</v>
      </c>
      <c r="K19">
        <v>-110</v>
      </c>
      <c r="L19">
        <v>-390</v>
      </c>
      <c r="M19">
        <v>-36</v>
      </c>
    </row>
    <row r="20" spans="1:13">
      <c r="A20" t="s">
        <v>155</v>
      </c>
      <c r="B20">
        <v>-236</v>
      </c>
      <c r="C20">
        <v>-11</v>
      </c>
      <c r="D20">
        <v>-195</v>
      </c>
      <c r="E20">
        <v>-138</v>
      </c>
      <c r="F20">
        <v>0</v>
      </c>
      <c r="G20">
        <v>192</v>
      </c>
      <c r="H20">
        <v>-308</v>
      </c>
      <c r="I20" s="50">
        <v>1014</v>
      </c>
      <c r="J20" s="50">
        <v>1813</v>
      </c>
      <c r="K20">
        <v>-70</v>
      </c>
      <c r="L20">
        <v>21</v>
      </c>
      <c r="M20">
        <v>-700</v>
      </c>
    </row>
    <row r="21" spans="1:13">
      <c r="A21" t="s">
        <v>156</v>
      </c>
      <c r="B21">
        <v>0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 s="50">
        <v>1058</v>
      </c>
      <c r="J21" s="50">
        <v>1902</v>
      </c>
      <c r="K21">
        <v>21</v>
      </c>
      <c r="L21">
        <v>13</v>
      </c>
      <c r="M21">
        <v>25</v>
      </c>
    </row>
    <row r="22" spans="1:13">
      <c r="A22" t="s">
        <v>157</v>
      </c>
      <c r="B22">
        <v>0</v>
      </c>
      <c r="C22">
        <v>96</v>
      </c>
      <c r="D22">
        <v>35</v>
      </c>
      <c r="E22">
        <v>17</v>
      </c>
      <c r="F22">
        <v>0</v>
      </c>
      <c r="G22">
        <v>269</v>
      </c>
      <c r="H22">
        <v>0</v>
      </c>
      <c r="I22">
        <v>0</v>
      </c>
      <c r="J22">
        <v>0</v>
      </c>
      <c r="K22">
        <v>0</v>
      </c>
      <c r="L22">
        <v>145</v>
      </c>
      <c r="M22">
        <v>0</v>
      </c>
    </row>
    <row r="23" spans="1:13">
      <c r="A23" t="s">
        <v>158</v>
      </c>
      <c r="B23">
        <v>-117</v>
      </c>
      <c r="C23">
        <v>-52</v>
      </c>
      <c r="D23">
        <v>-173</v>
      </c>
      <c r="E23">
        <v>-115</v>
      </c>
      <c r="F23">
        <v>-213</v>
      </c>
      <c r="G23">
        <v>-42</v>
      </c>
      <c r="H23">
        <v>-270</v>
      </c>
      <c r="I23">
        <v>-6</v>
      </c>
      <c r="J23">
        <v>0</v>
      </c>
      <c r="K23">
        <v>0</v>
      </c>
      <c r="L23">
        <v>0</v>
      </c>
      <c r="M23">
        <v>-363</v>
      </c>
    </row>
    <row r="24" spans="1:13">
      <c r="A24" t="s">
        <v>159</v>
      </c>
      <c r="B24">
        <v>-93</v>
      </c>
      <c r="C24">
        <v>-49</v>
      </c>
      <c r="D24">
        <v>-45</v>
      </c>
      <c r="E24">
        <v>-28</v>
      </c>
      <c r="F24">
        <v>-21</v>
      </c>
      <c r="G24">
        <v>-13</v>
      </c>
      <c r="H24">
        <v>-9</v>
      </c>
      <c r="I24">
        <v>-8</v>
      </c>
      <c r="J24">
        <v>-10</v>
      </c>
      <c r="K24">
        <v>-8</v>
      </c>
      <c r="L24">
        <v>-36</v>
      </c>
      <c r="M24">
        <v>-26</v>
      </c>
    </row>
    <row r="25" spans="1:13">
      <c r="A25" t="s">
        <v>160</v>
      </c>
      <c r="B25">
        <v>-25</v>
      </c>
      <c r="C25">
        <v>-6</v>
      </c>
      <c r="D25">
        <v>-13</v>
      </c>
      <c r="E25">
        <v>-13</v>
      </c>
      <c r="F25">
        <v>-16</v>
      </c>
      <c r="G25">
        <v>-22</v>
      </c>
      <c r="H25">
        <v>-26</v>
      </c>
      <c r="I25">
        <v>-25</v>
      </c>
      <c r="J25">
        <v>-74</v>
      </c>
      <c r="K25">
        <v>-76</v>
      </c>
      <c r="L25">
        <v>-76</v>
      </c>
      <c r="M25">
        <v>-305</v>
      </c>
    </row>
    <row r="26" spans="1:13">
      <c r="A26" t="s">
        <v>161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-3</v>
      </c>
      <c r="I26">
        <v>-5</v>
      </c>
      <c r="J26">
        <v>-6</v>
      </c>
      <c r="K26">
        <v>-7</v>
      </c>
      <c r="L26">
        <v>-26</v>
      </c>
      <c r="M26">
        <v>-30</v>
      </c>
    </row>
    <row r="27" spans="1:13">
      <c r="A27" t="s">
        <v>162</v>
      </c>
      <c r="B27">
        <v>0</v>
      </c>
      <c r="C27">
        <v>0</v>
      </c>
      <c r="D27">
        <v>0</v>
      </c>
      <c r="E27">
        <v>0</v>
      </c>
      <c r="F27">
        <v>250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35</v>
      </c>
      <c r="B28">
        <v>49</v>
      </c>
      <c r="C28">
        <v>10</v>
      </c>
      <c r="D28">
        <v>1</v>
      </c>
      <c r="E28">
        <v>23</v>
      </c>
      <c r="F28">
        <v>94</v>
      </c>
      <c r="G28">
        <v>-63</v>
      </c>
      <c r="H28">
        <v>79</v>
      </c>
      <c r="I28">
        <v>-64</v>
      </c>
      <c r="J28">
        <v>-18</v>
      </c>
      <c r="K28">
        <v>99</v>
      </c>
      <c r="L28">
        <v>52</v>
      </c>
      <c r="M28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74" zoomScaleNormal="97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L12" sqref="L12"/>
    </sheetView>
  </sheetViews>
  <sheetFormatPr defaultColWidth="8.81640625" defaultRowHeight="14.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08984375" customWidth="1"/>
  </cols>
  <sheetData>
    <row r="1" spans="1:14" s="2" customFormat="1">
      <c r="A1" s="2" t="str">
        <f>'Data Sheet'!B1</f>
        <v>ESCORTS KUBOTA LTD</v>
      </c>
      <c r="H1" t="str">
        <f>UPDATE</f>
        <v/>
      </c>
      <c r="J1" s="3"/>
      <c r="K1" s="3"/>
      <c r="M1" s="2" t="s">
        <v>1</v>
      </c>
    </row>
    <row r="3" spans="1:14" s="2" customFormat="1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>
      <c r="A4" s="2" t="s">
        <v>6</v>
      </c>
      <c r="B4" s="1">
        <f>'Data Sheet'!B17</f>
        <v>3431.99</v>
      </c>
      <c r="C4" s="1">
        <f>'Data Sheet'!C17</f>
        <v>4145.33</v>
      </c>
      <c r="D4" s="1">
        <f>'Data Sheet'!D17</f>
        <v>5059.34</v>
      </c>
      <c r="E4" s="1">
        <f>'Data Sheet'!E17</f>
        <v>6262.02</v>
      </c>
      <c r="F4" s="1">
        <f>'Data Sheet'!F17</f>
        <v>5810.09</v>
      </c>
      <c r="G4" s="1">
        <f>'Data Sheet'!G17</f>
        <v>7014.42</v>
      </c>
      <c r="H4" s="1">
        <f>'Data Sheet'!H17</f>
        <v>7282.65</v>
      </c>
      <c r="I4" s="1">
        <f>'Data Sheet'!I17</f>
        <v>8428.69</v>
      </c>
      <c r="J4" s="1">
        <f>'Data Sheet'!J17</f>
        <v>9803.59</v>
      </c>
      <c r="K4" s="1">
        <f>'Data Sheet'!K17</f>
        <v>10243.879999999999</v>
      </c>
      <c r="L4" s="1">
        <f>SUM(Quarters!H4:K4)</f>
        <v>10488.54</v>
      </c>
      <c r="M4" s="1">
        <f>$K4+M23*K4</f>
        <v>11477.734212226605</v>
      </c>
      <c r="N4" s="1">
        <f>$K4+N23*L4</f>
        <v>10714.931857187008</v>
      </c>
    </row>
    <row r="5" spans="1:14">
      <c r="A5" t="s">
        <v>7</v>
      </c>
      <c r="B5" s="6">
        <f>SUM('Data Sheet'!B18,'Data Sheet'!B20:B24, -1*'Data Sheet'!B19)</f>
        <v>3271.04</v>
      </c>
      <c r="C5" s="6">
        <f>SUM('Data Sheet'!C18,'Data Sheet'!C20:C24, -1*'Data Sheet'!C19)</f>
        <v>3877.5500000000006</v>
      </c>
      <c r="D5" s="6">
        <f>SUM('Data Sheet'!D18,'Data Sheet'!D20:D24, -1*'Data Sheet'!D19)</f>
        <v>4505.99</v>
      </c>
      <c r="E5" s="6">
        <f>SUM('Data Sheet'!E18,'Data Sheet'!E20:E24, -1*'Data Sheet'!E19)</f>
        <v>5539.4500000000007</v>
      </c>
      <c r="F5" s="6">
        <f>SUM('Data Sheet'!F18,'Data Sheet'!F20:F24, -1*'Data Sheet'!F19)</f>
        <v>5148.7699999999995</v>
      </c>
      <c r="G5" s="6">
        <f>SUM('Data Sheet'!G18,'Data Sheet'!G20:G24, -1*'Data Sheet'!G19)</f>
        <v>5888.4000000000005</v>
      </c>
      <c r="H5" s="6">
        <f>SUM('Data Sheet'!H18,'Data Sheet'!H20:H24, -1*'Data Sheet'!H19)</f>
        <v>6316.59</v>
      </c>
      <c r="I5" s="6">
        <f>SUM('Data Sheet'!I18,'Data Sheet'!I20:I24, -1*'Data Sheet'!I19)</f>
        <v>7658.6500000000005</v>
      </c>
      <c r="J5" s="6">
        <f>SUM('Data Sheet'!J18,'Data Sheet'!J20:J24, -1*'Data Sheet'!J19)</f>
        <v>8673.2200000000012</v>
      </c>
      <c r="K5" s="6">
        <f>SUM('Data Sheet'!K18,'Data Sheet'!K20:K24, -1*'Data Sheet'!K19)</f>
        <v>9079.69</v>
      </c>
      <c r="L5" s="6">
        <f>SUM(Quarters!H5:K5)</f>
        <v>9271.7900000000009</v>
      </c>
      <c r="M5" s="6">
        <f t="shared" ref="M5:N5" si="0">M4-M6</f>
        <v>10146.230199015356</v>
      </c>
      <c r="N5" s="6">
        <f t="shared" si="0"/>
        <v>9561.7925234588893</v>
      </c>
    </row>
    <row r="6" spans="1:14" s="2" customFormat="1">
      <c r="A6" s="2" t="s">
        <v>8</v>
      </c>
      <c r="B6" s="1">
        <f>B4-B5</f>
        <v>160.94999999999982</v>
      </c>
      <c r="C6" s="1">
        <f t="shared" ref="C6:K6" si="1">C4-C5</f>
        <v>267.77999999999929</v>
      </c>
      <c r="D6" s="1">
        <f t="shared" si="1"/>
        <v>553.35000000000036</v>
      </c>
      <c r="E6" s="1">
        <f t="shared" si="1"/>
        <v>722.56999999999971</v>
      </c>
      <c r="F6" s="1">
        <f t="shared" si="1"/>
        <v>661.32000000000062</v>
      </c>
      <c r="G6" s="1">
        <f t="shared" si="1"/>
        <v>1126.0199999999995</v>
      </c>
      <c r="H6" s="1">
        <f t="shared" si="1"/>
        <v>966.05999999999949</v>
      </c>
      <c r="I6" s="1">
        <f t="shared" si="1"/>
        <v>770.04</v>
      </c>
      <c r="J6" s="1">
        <f t="shared" si="1"/>
        <v>1130.369999999999</v>
      </c>
      <c r="K6" s="1">
        <f t="shared" si="1"/>
        <v>1164.1899999999987</v>
      </c>
      <c r="L6" s="1">
        <f>SUM(Quarters!H6:K6)</f>
        <v>1216.75</v>
      </c>
      <c r="M6" s="1">
        <f>M4*M24</f>
        <v>1331.5040132112497</v>
      </c>
      <c r="N6" s="1">
        <f>N4*N24</f>
        <v>1153.1393337281181</v>
      </c>
    </row>
    <row r="7" spans="1:14">
      <c r="A7" t="s">
        <v>9</v>
      </c>
      <c r="B7" s="6">
        <f>'Data Sheet'!B25</f>
        <v>30.66</v>
      </c>
      <c r="C7" s="6">
        <f>'Data Sheet'!C25</f>
        <v>35.85</v>
      </c>
      <c r="D7" s="6">
        <f>'Data Sheet'!D25</f>
        <v>58.44</v>
      </c>
      <c r="E7" s="6">
        <f>'Data Sheet'!E25</f>
        <v>99.19</v>
      </c>
      <c r="F7" s="6">
        <f>'Data Sheet'!F25</f>
        <v>88.38</v>
      </c>
      <c r="G7" s="6">
        <f>'Data Sheet'!G25</f>
        <v>160.38</v>
      </c>
      <c r="H7" s="6">
        <f>'Data Sheet'!H25</f>
        <v>173.8</v>
      </c>
      <c r="I7" s="6">
        <f>'Data Sheet'!I25</f>
        <v>227.88</v>
      </c>
      <c r="J7" s="6">
        <f>'Data Sheet'!J25</f>
        <v>525.37</v>
      </c>
      <c r="K7" s="6">
        <f>'Data Sheet'!K25</f>
        <v>600.53</v>
      </c>
      <c r="L7" s="6">
        <f>SUM(Quarters!H7:K7)</f>
        <v>563.29000000000008</v>
      </c>
      <c r="M7" s="6">
        <v>0</v>
      </c>
      <c r="N7" s="6">
        <v>0</v>
      </c>
    </row>
    <row r="8" spans="1:14">
      <c r="A8" t="s">
        <v>10</v>
      </c>
      <c r="B8" s="6">
        <f>'Data Sheet'!B26</f>
        <v>58.13</v>
      </c>
      <c r="C8" s="6">
        <f>'Data Sheet'!C26</f>
        <v>63.42</v>
      </c>
      <c r="D8" s="6">
        <f>'Data Sheet'!D26</f>
        <v>73.22</v>
      </c>
      <c r="E8" s="6">
        <f>'Data Sheet'!E26</f>
        <v>87.21</v>
      </c>
      <c r="F8" s="6">
        <f>'Data Sheet'!F26</f>
        <v>107.22</v>
      </c>
      <c r="G8" s="6">
        <f>'Data Sheet'!G26</f>
        <v>118.28</v>
      </c>
      <c r="H8" s="6">
        <f>'Data Sheet'!H26</f>
        <v>132.06</v>
      </c>
      <c r="I8" s="6">
        <f>'Data Sheet'!I26</f>
        <v>150.06</v>
      </c>
      <c r="J8" s="6">
        <f>'Data Sheet'!J26</f>
        <v>224.06</v>
      </c>
      <c r="K8" s="6">
        <f>'Data Sheet'!K26</f>
        <v>243.65</v>
      </c>
      <c r="L8" s="6">
        <f>SUM(Quarters!H8:K8)</f>
        <v>246.20000000000002</v>
      </c>
      <c r="M8" s="6">
        <f>+$L8</f>
        <v>246.20000000000002</v>
      </c>
      <c r="N8" s="6">
        <f>+$L8</f>
        <v>246.20000000000002</v>
      </c>
    </row>
    <row r="9" spans="1:14">
      <c r="A9" t="s">
        <v>11</v>
      </c>
      <c r="B9" s="6">
        <f>'Data Sheet'!B27</f>
        <v>51.06</v>
      </c>
      <c r="C9" s="6">
        <f>'Data Sheet'!C27</f>
        <v>32.21</v>
      </c>
      <c r="D9" s="6">
        <f>'Data Sheet'!D27</f>
        <v>29.49</v>
      </c>
      <c r="E9" s="6">
        <f>'Data Sheet'!E27</f>
        <v>19.54</v>
      </c>
      <c r="F9" s="6">
        <f>'Data Sheet'!F27</f>
        <v>17.23</v>
      </c>
      <c r="G9" s="6">
        <f>'Data Sheet'!G27</f>
        <v>13.34</v>
      </c>
      <c r="H9" s="6">
        <f>'Data Sheet'!H27</f>
        <v>14.97</v>
      </c>
      <c r="I9" s="6">
        <f>'Data Sheet'!I27</f>
        <v>13.27</v>
      </c>
      <c r="J9" s="6">
        <f>'Data Sheet'!J27</f>
        <v>41.66</v>
      </c>
      <c r="K9" s="6">
        <f>'Data Sheet'!K27</f>
        <v>29.17</v>
      </c>
      <c r="L9" s="6">
        <f>SUM(Quarters!H9:K9)</f>
        <v>29.2</v>
      </c>
      <c r="M9" s="6">
        <f>+$L9</f>
        <v>29.2</v>
      </c>
      <c r="N9" s="6">
        <f>+$L9</f>
        <v>29.2</v>
      </c>
    </row>
    <row r="10" spans="1:14">
      <c r="A10" t="s">
        <v>12</v>
      </c>
      <c r="B10" s="6">
        <f>'Data Sheet'!B28</f>
        <v>82.42</v>
      </c>
      <c r="C10" s="6">
        <f>'Data Sheet'!C28</f>
        <v>208</v>
      </c>
      <c r="D10" s="6">
        <f>'Data Sheet'!D28</f>
        <v>509.08</v>
      </c>
      <c r="E10" s="6">
        <f>'Data Sheet'!E28</f>
        <v>715.01</v>
      </c>
      <c r="F10" s="6">
        <f>'Data Sheet'!F28</f>
        <v>625.25</v>
      </c>
      <c r="G10" s="6">
        <f>'Data Sheet'!G28</f>
        <v>1154.78</v>
      </c>
      <c r="H10" s="6">
        <f>'Data Sheet'!H28</f>
        <v>992.83</v>
      </c>
      <c r="I10" s="6">
        <f>'Data Sheet'!I28</f>
        <v>834.59</v>
      </c>
      <c r="J10" s="6">
        <f>'Data Sheet'!J28</f>
        <v>1390.02</v>
      </c>
      <c r="K10" s="6">
        <f>'Data Sheet'!K28</f>
        <v>1491.9</v>
      </c>
      <c r="L10" s="6">
        <f>SUM(Quarters!H10:K10)</f>
        <v>1504.6399999999999</v>
      </c>
      <c r="M10" s="6">
        <f>M6+M7-SUM(M8:M9)</f>
        <v>1056.1040132112496</v>
      </c>
      <c r="N10" s="6">
        <f>N6+N7-SUM(N8:N9)</f>
        <v>877.73933372811803</v>
      </c>
    </row>
    <row r="11" spans="1:14">
      <c r="A11" t="s">
        <v>13</v>
      </c>
      <c r="B11" s="6">
        <f>'Data Sheet'!B29</f>
        <v>12.27</v>
      </c>
      <c r="C11" s="6">
        <f>'Data Sheet'!C29</f>
        <v>77.25</v>
      </c>
      <c r="D11" s="6">
        <f>'Data Sheet'!D29</f>
        <v>162.49</v>
      </c>
      <c r="E11" s="6">
        <f>'Data Sheet'!E29</f>
        <v>237.11</v>
      </c>
      <c r="F11" s="6">
        <f>'Data Sheet'!F29</f>
        <v>153.53</v>
      </c>
      <c r="G11" s="6">
        <f>'Data Sheet'!G29</f>
        <v>283.14999999999998</v>
      </c>
      <c r="H11" s="6">
        <f>'Data Sheet'!H29</f>
        <v>257.22000000000003</v>
      </c>
      <c r="I11" s="6">
        <f>'Data Sheet'!I29</f>
        <v>197.94</v>
      </c>
      <c r="J11" s="6">
        <f>'Data Sheet'!J29</f>
        <v>313.39999999999998</v>
      </c>
      <c r="K11" s="6">
        <f>'Data Sheet'!K29</f>
        <v>226.95</v>
      </c>
      <c r="L11" s="6">
        <f>SUM(Quarters!H11:K11)</f>
        <v>239.69</v>
      </c>
      <c r="M11" s="7">
        <f>IF($L10&gt;0,$L11/$L10,0)</f>
        <v>0.15930056358996172</v>
      </c>
      <c r="N11" s="7">
        <f>IF($L10&gt;0,$L11/$L10,0)</f>
        <v>0.15930056358996172</v>
      </c>
    </row>
    <row r="12" spans="1:14" s="2" customFormat="1">
      <c r="A12" s="2" t="s">
        <v>14</v>
      </c>
      <c r="B12" s="1">
        <f>'Data Sheet'!B30</f>
        <v>70.61</v>
      </c>
      <c r="C12" s="1">
        <f>'Data Sheet'!C30</f>
        <v>131.27000000000001</v>
      </c>
      <c r="D12" s="1">
        <f>'Data Sheet'!D30</f>
        <v>347.02</v>
      </c>
      <c r="E12" s="1">
        <f>'Data Sheet'!E30</f>
        <v>478.93</v>
      </c>
      <c r="F12" s="1">
        <f>'Data Sheet'!F30</f>
        <v>472.25</v>
      </c>
      <c r="G12" s="1">
        <f>'Data Sheet'!G30</f>
        <v>871.46</v>
      </c>
      <c r="H12" s="1">
        <f>'Data Sheet'!H30</f>
        <v>736.47</v>
      </c>
      <c r="I12" s="1">
        <f>'Data Sheet'!I30</f>
        <v>636.78</v>
      </c>
      <c r="J12" s="1">
        <f>'Data Sheet'!J30</f>
        <v>1076.6500000000001</v>
      </c>
      <c r="K12" s="1">
        <f>'Data Sheet'!K30</f>
        <v>1264.94</v>
      </c>
      <c r="L12" s="1">
        <f>SUM(Quarters!H12:K12)</f>
        <v>1264.94</v>
      </c>
      <c r="M12" s="1">
        <f>M10-M11*M10</f>
        <v>887.86604869707719</v>
      </c>
      <c r="N12" s="1">
        <f>N10-N11*N10</f>
        <v>737.91496318015129</v>
      </c>
    </row>
    <row r="13" spans="1:14">
      <c r="A13" t="s">
        <v>57</v>
      </c>
      <c r="B13" s="6">
        <f>IF('Data Sheet'!B93&gt;0,B12/'Data Sheet'!B93,0)</f>
        <v>5.7593800978792826</v>
      </c>
      <c r="C13" s="6">
        <f>IF('Data Sheet'!C93&gt;0,C12/'Data Sheet'!C93,0)</f>
        <v>10.707177814029365</v>
      </c>
      <c r="D13" s="6">
        <f>IF('Data Sheet'!D93&gt;0,D12/'Data Sheet'!D93,0)</f>
        <v>28.30505709624796</v>
      </c>
      <c r="E13" s="6">
        <f>IF('Data Sheet'!E93&gt;0,E12/'Data Sheet'!E93,0)</f>
        <v>39.064437194127244</v>
      </c>
      <c r="F13" s="6">
        <f>IF('Data Sheet'!F93&gt;0,F12/'Data Sheet'!F93,0)</f>
        <v>38.519575856443723</v>
      </c>
      <c r="G13" s="6">
        <f>IF('Data Sheet'!G93&gt;0,G12/'Data Sheet'!G93,0)</f>
        <v>64.64836795252225</v>
      </c>
      <c r="H13" s="6">
        <f>IF('Data Sheet'!H93&gt;0,H12/'Data Sheet'!H93,0)</f>
        <v>55.835481425322214</v>
      </c>
      <c r="I13" s="6">
        <f>IF('Data Sheet'!I93&gt;0,I12/'Data Sheet'!I93,0)</f>
        <v>48.277482941622438</v>
      </c>
      <c r="J13" s="6">
        <f>IF('Data Sheet'!J93&gt;0,J12/'Data Sheet'!J93,0)</f>
        <v>97.434389140271492</v>
      </c>
      <c r="K13" s="6">
        <f>IF('Data Sheet'!K93&gt;0,K12/'Data Sheet'!K93,0)</f>
        <v>113.04200178731011</v>
      </c>
      <c r="L13" s="6">
        <f>IF('Data Sheet'!$B6&gt;0,'Profit &amp; Loss'!L12/'Data Sheet'!$B6,0)</f>
        <v>113.06443487947053</v>
      </c>
      <c r="M13" s="6">
        <f>IF('Data Sheet'!$B6&gt;0,'Profit &amp; Loss'!M12/'Data Sheet'!$B6,0)</f>
        <v>79.36034360886957</v>
      </c>
      <c r="N13" s="6">
        <f>IF('Data Sheet'!$B6&gt;0,'Profit &amp; Loss'!N12/'Data Sheet'!$B6,0)</f>
        <v>65.957229829927982</v>
      </c>
    </row>
    <row r="14" spans="1:14">
      <c r="A14" t="s">
        <v>16</v>
      </c>
      <c r="B14" s="6">
        <f>IF(B15&gt;0,B15/B13,"")</f>
        <v>24.177949298966151</v>
      </c>
      <c r="C14" s="6">
        <f t="shared" ref="C14:K14" si="2">IF(C15&gt;0,C15/C13,"")</f>
        <v>50.316713643635254</v>
      </c>
      <c r="D14" s="6">
        <f t="shared" si="2"/>
        <v>28.902962365281542</v>
      </c>
      <c r="E14" s="6">
        <f t="shared" si="2"/>
        <v>20.3778694172426</v>
      </c>
      <c r="F14" s="6">
        <f t="shared" si="2"/>
        <v>17.201643197458971</v>
      </c>
      <c r="G14" s="6">
        <f t="shared" si="2"/>
        <v>19.920069767975583</v>
      </c>
      <c r="H14" s="6">
        <f t="shared" si="2"/>
        <v>30.282715521338275</v>
      </c>
      <c r="I14" s="6">
        <f t="shared" si="2"/>
        <v>39.170434844059173</v>
      </c>
      <c r="J14" s="6">
        <f t="shared" si="2"/>
        <v>28.504309664236292</v>
      </c>
      <c r="K14" s="6">
        <f t="shared" si="2"/>
        <v>28.750817825351398</v>
      </c>
      <c r="L14" s="6">
        <f t="shared" ref="L14" si="3">IF(L13&gt;0,L15/L13,0)</f>
        <v>29.239963950859327</v>
      </c>
      <c r="M14" s="6">
        <f>M25</f>
        <v>31.41638157112655</v>
      </c>
      <c r="N14" s="6">
        <f>N25</f>
        <v>26.680978023565203</v>
      </c>
    </row>
    <row r="15" spans="1:14" s="2" customFormat="1">
      <c r="A15" s="2" t="s">
        <v>58</v>
      </c>
      <c r="B15" s="1">
        <f>'Data Sheet'!B90</f>
        <v>139.25</v>
      </c>
      <c r="C15" s="1">
        <f>'Data Sheet'!C90</f>
        <v>538.75</v>
      </c>
      <c r="D15" s="1">
        <f>'Data Sheet'!D90</f>
        <v>818.1</v>
      </c>
      <c r="E15" s="1">
        <f>'Data Sheet'!E90</f>
        <v>796.05</v>
      </c>
      <c r="F15" s="1">
        <f>'Data Sheet'!F90</f>
        <v>662.6</v>
      </c>
      <c r="G15" s="1">
        <f>'Data Sheet'!G90</f>
        <v>1287.8</v>
      </c>
      <c r="H15" s="1">
        <f>'Data Sheet'!H90</f>
        <v>1690.85</v>
      </c>
      <c r="I15" s="1">
        <f>'Data Sheet'!I90</f>
        <v>1891.05</v>
      </c>
      <c r="J15" s="1">
        <f>'Data Sheet'!J90</f>
        <v>2777.3</v>
      </c>
      <c r="K15" s="1">
        <f>'Data Sheet'!K90</f>
        <v>3250.05</v>
      </c>
      <c r="L15" s="1">
        <f>'Data Sheet'!B8</f>
        <v>3306</v>
      </c>
      <c r="M15" s="8">
        <f>M13*M14</f>
        <v>2493.2148364319605</v>
      </c>
      <c r="N15" s="9">
        <f>N13*N14</f>
        <v>1759.8033995875478</v>
      </c>
    </row>
    <row r="17" spans="1:14" s="2" customFormat="1">
      <c r="A17" s="2" t="s">
        <v>15</v>
      </c>
    </row>
    <row r="18" spans="1:14">
      <c r="A18" t="s">
        <v>17</v>
      </c>
      <c r="B18" s="5">
        <f>IF('Data Sheet'!B30&gt;0, 'Data Sheet'!B31/'Data Sheet'!B30, 0)</f>
        <v>0.20832743237501772</v>
      </c>
      <c r="C18" s="5">
        <f>IF('Data Sheet'!C30&gt;0, 'Data Sheet'!C31/'Data Sheet'!C30, 0)</f>
        <v>0.14009293821893806</v>
      </c>
      <c r="D18" s="5">
        <f>IF('Data Sheet'!D30&gt;0, 'Data Sheet'!D31/'Data Sheet'!D30, 0)</f>
        <v>7.0658751656965016E-2</v>
      </c>
      <c r="E18" s="5">
        <f>IF('Data Sheet'!E30&gt;0, 'Data Sheet'!E31/'Data Sheet'!E30, 0)</f>
        <v>6.3975946380473145E-2</v>
      </c>
      <c r="F18" s="5">
        <f>IF('Data Sheet'!F30&gt;0, 'Data Sheet'!F31/'Data Sheet'!F30, 0)</f>
        <v>6.488088935944944E-2</v>
      </c>
      <c r="G18" s="5">
        <f>IF('Data Sheet'!G30&gt;0, 'Data Sheet'!G31/'Data Sheet'!G30, 0)</f>
        <v>0.11603515938769421</v>
      </c>
      <c r="H18" s="5">
        <f>IF('Data Sheet'!H30&gt;0, 'Data Sheet'!H31/'Data Sheet'!H30, 0)</f>
        <v>0.12540904585387047</v>
      </c>
      <c r="I18" s="5">
        <f>IF('Data Sheet'!I30&gt;0, 'Data Sheet'!I31/'Data Sheet'!I30, 0)</f>
        <v>0.14504224378906372</v>
      </c>
      <c r="J18" s="5">
        <f>IF('Data Sheet'!J30&gt;0, 'Data Sheet'!J31/'Data Sheet'!J30, 0)</f>
        <v>0.18473970185296984</v>
      </c>
      <c r="K18" s="5">
        <f>IF('Data Sheet'!K30&gt;0, 'Data Sheet'!K31/'Data Sheet'!K30, 0)</f>
        <v>0.24764810979176877</v>
      </c>
    </row>
    <row r="19" spans="1:14">
      <c r="A19" t="s">
        <v>18</v>
      </c>
      <c r="B19" s="5">
        <f t="shared" ref="B19:L19" si="4">IF(B6&gt;0,B6/B4,0)</f>
        <v>4.689698979309375E-2</v>
      </c>
      <c r="C19" s="5">
        <f t="shared" ref="C19:K19" si="5">IF(C6&gt;0,C6/C4,0)</f>
        <v>6.4597993404626242E-2</v>
      </c>
      <c r="D19" s="5">
        <f t="shared" si="5"/>
        <v>0.10937197341945794</v>
      </c>
      <c r="E19" s="5">
        <f t="shared" si="5"/>
        <v>0.11538928333029912</v>
      </c>
      <c r="F19" s="5">
        <f t="shared" si="5"/>
        <v>0.11382267744561626</v>
      </c>
      <c r="G19" s="5">
        <f t="shared" si="5"/>
        <v>0.16052930962217823</v>
      </c>
      <c r="H19" s="5">
        <f t="shared" si="5"/>
        <v>0.132652262569257</v>
      </c>
      <c r="I19" s="5">
        <f t="shared" si="5"/>
        <v>9.1359392740746184E-2</v>
      </c>
      <c r="J19" s="5">
        <f t="shared" si="5"/>
        <v>0.11530163950144784</v>
      </c>
      <c r="K19" s="5">
        <f t="shared" si="5"/>
        <v>0.11364736798947261</v>
      </c>
      <c r="L19" s="5">
        <f t="shared" si="4"/>
        <v>0.11600756635337234</v>
      </c>
    </row>
    <row r="20" spans="1:14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>
      <c r="A23"/>
      <c r="B23"/>
      <c r="C23"/>
      <c r="D23"/>
      <c r="E23"/>
      <c r="F23"/>
      <c r="G23" t="s">
        <v>22</v>
      </c>
      <c r="H23" s="5">
        <f>IF(B4=0,"",POWER($K4/B4,1/9)-1)</f>
        <v>0.12919440792074877</v>
      </c>
      <c r="I23" s="5">
        <f>IF(D4=0,"",POWER($K4/D4,1/7)-1)</f>
        <v>0.10603082502623873</v>
      </c>
      <c r="J23" s="5">
        <f>IF(F4=0,"",POWER($K4/F4,1/5)-1)</f>
        <v>0.12009878080302561</v>
      </c>
      <c r="K23" s="5">
        <f>IF(H4=0,"",POWER($K4/H4, 1/3)-1)</f>
        <v>0.12044793693664957</v>
      </c>
      <c r="L23" s="5">
        <f>IF(ISERROR(MAX(IF(J4=0,"",(K4-J4)/J4),IF(K4=0,"",(L4-K4)/K4))),"",MAX(IF(J4=0,"",(K4-J4)/J4),IF(K4=0,"",(L4-K4)/K4)))</f>
        <v>4.4911098893364476E-2</v>
      </c>
      <c r="M23" s="16">
        <f>MAX(K23:L23)</f>
        <v>0.12044793693664957</v>
      </c>
      <c r="N23" s="16">
        <f>MIN(H23:L23)</f>
        <v>4.4911098893364476E-2</v>
      </c>
    </row>
    <row r="24" spans="1:14">
      <c r="G24" t="s">
        <v>18</v>
      </c>
      <c r="H24" s="5">
        <f>IF(SUM(B4:$K$4)=0,"",SUMPRODUCT(B19:$K$19,B4:$K$4)/SUM(B4:$K$4))</f>
        <v>0.11147639370498791</v>
      </c>
      <c r="I24" s="5">
        <f>IF(SUM(E4:$K$4)=0,"",SUMPRODUCT(E19:$K$19,E4:$K$4)/SUM(E4:$K$4))</f>
        <v>0.11925479904035596</v>
      </c>
      <c r="J24" s="5">
        <f>IF(SUM(G4:$K$4)=0,"",SUMPRODUCT(G19:$K$19,G4:$K$4)/SUM(G4:$K$4))</f>
        <v>0.12055858302026749</v>
      </c>
      <c r="K24" s="5">
        <f>IF(SUM(I4:$K$4)=0, "", SUMPRODUCT(I19:$K$19,I4:$K$4)/SUM(I4:$K$4))</f>
        <v>0.10761984761990374</v>
      </c>
      <c r="L24" s="5">
        <f>L19</f>
        <v>0.11600756635337234</v>
      </c>
      <c r="M24" s="16">
        <f>MAX(K24:L24)</f>
        <v>0.11600756635337234</v>
      </c>
      <c r="N24" s="16">
        <f>MIN(H24:L24)</f>
        <v>0.10761984761990374</v>
      </c>
    </row>
    <row r="25" spans="1:14">
      <c r="G25" t="s">
        <v>23</v>
      </c>
      <c r="H25" s="6">
        <f>IF(ISERROR(AVERAGEIF(B14:$L14,"&gt;0")),"",AVERAGEIF(B14:$L14,"&gt;0"))</f>
        <v>28.804131772400414</v>
      </c>
      <c r="I25" s="6">
        <f>IF(ISERROR(AVERAGEIF(E14:$L14,"&gt;0")),"",AVERAGEIF(E14:$L14,"&gt;0"))</f>
        <v>26.680978023565203</v>
      </c>
      <c r="J25" s="6">
        <f>IF(ISERROR(AVERAGEIF(G14:$L14,"&gt;0")),"",AVERAGEIF(G14:$L14,"&gt;0"))</f>
        <v>29.311385262303343</v>
      </c>
      <c r="K25" s="6">
        <f>IF(ISERROR(AVERAGEIF(I14:$L14,"&gt;0")),"",AVERAGEIF(I14:$L14,"&gt;0"))</f>
        <v>31.41638157112655</v>
      </c>
      <c r="L25" s="6">
        <f>L14</f>
        <v>29.239963950859327</v>
      </c>
      <c r="M25" s="1">
        <f>MAX(K25:L25)</f>
        <v>31.41638157112655</v>
      </c>
      <c r="N25" s="1">
        <f>MIN(H25:L25)</f>
        <v>26.680978023565203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94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/>
  <cols>
    <col min="1" max="1" width="20.6328125" customWidth="1"/>
    <col min="2" max="11" width="13.453125" bestFit="1" customWidth="1"/>
  </cols>
  <sheetData>
    <row r="1" spans="1:11" s="2" customFormat="1">
      <c r="A1" s="2" t="str">
        <f>'Profit &amp; Loss'!A1</f>
        <v>ESCORTS KUBOTA LTD</v>
      </c>
      <c r="E1" t="str">
        <f>UPDATE</f>
        <v/>
      </c>
      <c r="J1" s="2" t="s">
        <v>1</v>
      </c>
    </row>
    <row r="3" spans="1:11" s="2" customFormat="1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>
      <c r="A4" s="2" t="s">
        <v>6</v>
      </c>
      <c r="B4" s="1">
        <f>'Data Sheet'!B42</f>
        <v>2291.35</v>
      </c>
      <c r="C4" s="1">
        <f>'Data Sheet'!C42</f>
        <v>2214.48</v>
      </c>
      <c r="D4" s="1">
        <f>'Data Sheet'!D42</f>
        <v>2355.17</v>
      </c>
      <c r="E4" s="1">
        <f>'Data Sheet'!E42</f>
        <v>2477.71</v>
      </c>
      <c r="F4" s="1">
        <f>'Data Sheet'!F42</f>
        <v>2727.61</v>
      </c>
      <c r="G4" s="1">
        <f>'Data Sheet'!G42</f>
        <v>2300.66</v>
      </c>
      <c r="H4" s="1">
        <f>'Data Sheet'!H42</f>
        <v>2818.39</v>
      </c>
      <c r="I4" s="1">
        <f>'Data Sheet'!I42</f>
        <v>2277.25</v>
      </c>
      <c r="J4" s="1">
        <f>'Data Sheet'!J42</f>
        <v>2948.02</v>
      </c>
      <c r="K4" s="1">
        <f>'Data Sheet'!K42</f>
        <v>2444.88</v>
      </c>
    </row>
    <row r="5" spans="1:11">
      <c r="A5" t="s">
        <v>7</v>
      </c>
      <c r="B5" s="6">
        <f>'Data Sheet'!B43</f>
        <v>2105.96</v>
      </c>
      <c r="C5" s="6">
        <f>'Data Sheet'!C43</f>
        <v>1981.32</v>
      </c>
      <c r="D5" s="6">
        <f>'Data Sheet'!D43</f>
        <v>2024.12</v>
      </c>
      <c r="E5" s="6">
        <f>'Data Sheet'!E43</f>
        <v>2213.52</v>
      </c>
      <c r="F5" s="6">
        <f>'Data Sheet'!F43</f>
        <v>2402.3200000000002</v>
      </c>
      <c r="G5" s="6">
        <f>'Data Sheet'!G43</f>
        <v>2015.25</v>
      </c>
      <c r="H5" s="6">
        <f>'Data Sheet'!H43</f>
        <v>2450.9899999999998</v>
      </c>
      <c r="I5" s="6">
        <f>'Data Sheet'!I43</f>
        <v>2047.43</v>
      </c>
      <c r="J5" s="6">
        <f>'Data Sheet'!J43</f>
        <v>2615.7399999999998</v>
      </c>
      <c r="K5" s="6">
        <f>'Data Sheet'!K43</f>
        <v>2157.63</v>
      </c>
    </row>
    <row r="6" spans="1:11" s="2" customFormat="1">
      <c r="A6" s="2" t="s">
        <v>8</v>
      </c>
      <c r="B6" s="1">
        <f>'Data Sheet'!B50</f>
        <v>185.39</v>
      </c>
      <c r="C6" s="1">
        <f>'Data Sheet'!C50</f>
        <v>233.16</v>
      </c>
      <c r="D6" s="1">
        <f>'Data Sheet'!D50</f>
        <v>331.05</v>
      </c>
      <c r="E6" s="1">
        <f>'Data Sheet'!E50</f>
        <v>264.19</v>
      </c>
      <c r="F6" s="1">
        <f>'Data Sheet'!F50</f>
        <v>325.29000000000002</v>
      </c>
      <c r="G6" s="1">
        <f>'Data Sheet'!G50</f>
        <v>285.41000000000003</v>
      </c>
      <c r="H6" s="1">
        <f>'Data Sheet'!H50</f>
        <v>367.4</v>
      </c>
      <c r="I6" s="1">
        <f>'Data Sheet'!I50</f>
        <v>229.82</v>
      </c>
      <c r="J6" s="1">
        <f>'Data Sheet'!J50</f>
        <v>332.28</v>
      </c>
      <c r="K6" s="1">
        <f>'Data Sheet'!K50</f>
        <v>287.25</v>
      </c>
    </row>
    <row r="7" spans="1:11">
      <c r="A7" t="s">
        <v>9</v>
      </c>
      <c r="B7" s="6">
        <f>'Data Sheet'!B44</f>
        <v>91.68</v>
      </c>
      <c r="C7" s="6">
        <f>'Data Sheet'!C44</f>
        <v>86.46</v>
      </c>
      <c r="D7" s="6">
        <f>'Data Sheet'!D44</f>
        <v>99.02</v>
      </c>
      <c r="E7" s="6">
        <f>'Data Sheet'!E44</f>
        <v>93.75</v>
      </c>
      <c r="F7" s="6">
        <f>'Data Sheet'!F44</f>
        <v>128.6</v>
      </c>
      <c r="G7" s="6">
        <f>'Data Sheet'!G44</f>
        <v>132.77000000000001</v>
      </c>
      <c r="H7" s="6">
        <f>'Data Sheet'!H44</f>
        <v>103.04</v>
      </c>
      <c r="I7" s="6">
        <f>'Data Sheet'!I44</f>
        <v>140.05000000000001</v>
      </c>
      <c r="J7" s="6">
        <f>'Data Sheet'!J44</f>
        <v>142.6</v>
      </c>
      <c r="K7" s="6">
        <f>'Data Sheet'!K44</f>
        <v>177.6</v>
      </c>
    </row>
    <row r="8" spans="1:11">
      <c r="A8" t="s">
        <v>10</v>
      </c>
      <c r="B8" s="6">
        <f>'Data Sheet'!B45</f>
        <v>37.97</v>
      </c>
      <c r="C8" s="6">
        <f>'Data Sheet'!C45</f>
        <v>38.369999999999997</v>
      </c>
      <c r="D8" s="6">
        <f>'Data Sheet'!D45</f>
        <v>40.299999999999997</v>
      </c>
      <c r="E8" s="6">
        <f>'Data Sheet'!E45</f>
        <v>58.34</v>
      </c>
      <c r="F8" s="6">
        <f>'Data Sheet'!F45</f>
        <v>56.62</v>
      </c>
      <c r="G8" s="6">
        <f>'Data Sheet'!G45</f>
        <v>59.24</v>
      </c>
      <c r="H8" s="6">
        <f>'Data Sheet'!H45</f>
        <v>61.63</v>
      </c>
      <c r="I8" s="6">
        <f>'Data Sheet'!I45</f>
        <v>61.07</v>
      </c>
      <c r="J8" s="6">
        <f>'Data Sheet'!J45</f>
        <v>61.53</v>
      </c>
      <c r="K8" s="6">
        <f>'Data Sheet'!K45</f>
        <v>61.97</v>
      </c>
    </row>
    <row r="9" spans="1:11">
      <c r="A9" t="s">
        <v>11</v>
      </c>
      <c r="B9" s="6">
        <f>'Data Sheet'!B46</f>
        <v>3.48</v>
      </c>
      <c r="C9" s="6">
        <f>'Data Sheet'!C46</f>
        <v>3.63</v>
      </c>
      <c r="D9" s="6">
        <f>'Data Sheet'!D46</f>
        <v>3.43</v>
      </c>
      <c r="E9" s="6">
        <f>'Data Sheet'!E46</f>
        <v>9.43</v>
      </c>
      <c r="F9" s="6">
        <f>'Data Sheet'!F46</f>
        <v>11.16</v>
      </c>
      <c r="G9" s="6">
        <f>'Data Sheet'!G46</f>
        <v>11.66</v>
      </c>
      <c r="H9" s="6">
        <f>'Data Sheet'!H46</f>
        <v>10.73</v>
      </c>
      <c r="I9" s="6">
        <f>'Data Sheet'!I46</f>
        <v>9.7899999999999991</v>
      </c>
      <c r="J9" s="6">
        <f>'Data Sheet'!J46</f>
        <v>3.54</v>
      </c>
      <c r="K9" s="6">
        <f>'Data Sheet'!K46</f>
        <v>5.14</v>
      </c>
    </row>
    <row r="10" spans="1:11">
      <c r="A10" t="s">
        <v>12</v>
      </c>
      <c r="B10" s="6">
        <f>'Data Sheet'!B47</f>
        <v>235.62</v>
      </c>
      <c r="C10" s="6">
        <f>'Data Sheet'!C47</f>
        <v>277.62</v>
      </c>
      <c r="D10" s="6">
        <f>'Data Sheet'!D47</f>
        <v>386.34</v>
      </c>
      <c r="E10" s="6">
        <f>'Data Sheet'!E47</f>
        <v>290.17</v>
      </c>
      <c r="F10" s="6">
        <f>'Data Sheet'!F47</f>
        <v>386.11</v>
      </c>
      <c r="G10" s="6">
        <f>'Data Sheet'!G47</f>
        <v>347.28</v>
      </c>
      <c r="H10" s="6">
        <f>'Data Sheet'!H47</f>
        <v>398.08</v>
      </c>
      <c r="I10" s="6">
        <f>'Data Sheet'!I47</f>
        <v>299.01</v>
      </c>
      <c r="J10" s="6">
        <f>'Data Sheet'!J47</f>
        <v>409.81</v>
      </c>
      <c r="K10" s="6">
        <f>'Data Sheet'!K47</f>
        <v>397.74</v>
      </c>
    </row>
    <row r="11" spans="1:11">
      <c r="A11" t="s">
        <v>13</v>
      </c>
      <c r="B11" s="6">
        <f>'Data Sheet'!B48</f>
        <v>54.82</v>
      </c>
      <c r="C11" s="6">
        <f>'Data Sheet'!C48</f>
        <v>61.16</v>
      </c>
      <c r="D11" s="6">
        <f>'Data Sheet'!D48</f>
        <v>96.45</v>
      </c>
      <c r="E11" s="6">
        <f>'Data Sheet'!E48</f>
        <v>79.66</v>
      </c>
      <c r="F11" s="6">
        <f>'Data Sheet'!F48</f>
        <v>87.59</v>
      </c>
      <c r="G11" s="6">
        <f>'Data Sheet'!G48</f>
        <v>77.3</v>
      </c>
      <c r="H11" s="6">
        <f>'Data Sheet'!H48</f>
        <v>96.4</v>
      </c>
      <c r="I11" s="6">
        <f>'Data Sheet'!I48</f>
        <v>-25.21</v>
      </c>
      <c r="J11" s="6">
        <f>'Data Sheet'!J48</f>
        <v>89.18</v>
      </c>
      <c r="K11" s="6">
        <f>'Data Sheet'!K48</f>
        <v>79.319999999999993</v>
      </c>
    </row>
    <row r="12" spans="1:11" s="2" customFormat="1">
      <c r="A12" s="2" t="s">
        <v>14</v>
      </c>
      <c r="B12" s="1">
        <f>'Data Sheet'!B49</f>
        <v>180.82</v>
      </c>
      <c r="C12" s="1">
        <f>'Data Sheet'!C49</f>
        <v>216.49</v>
      </c>
      <c r="D12" s="1">
        <f>'Data Sheet'!D49</f>
        <v>289.89999999999998</v>
      </c>
      <c r="E12" s="1">
        <f>'Data Sheet'!E49</f>
        <v>210.53</v>
      </c>
      <c r="F12" s="1">
        <f>'Data Sheet'!F49</f>
        <v>298.51</v>
      </c>
      <c r="G12" s="1">
        <f>'Data Sheet'!G49</f>
        <v>269.99</v>
      </c>
      <c r="H12" s="1">
        <f>'Data Sheet'!H49</f>
        <v>301.64999999999998</v>
      </c>
      <c r="I12" s="1">
        <f>'Data Sheet'!I49</f>
        <v>324.23</v>
      </c>
      <c r="J12" s="1">
        <f>'Data Sheet'!J49</f>
        <v>320.64</v>
      </c>
      <c r="K12" s="1">
        <f>'Data Sheet'!K49</f>
        <v>318.42</v>
      </c>
    </row>
    <row r="14" spans="1:11" s="2" customFormat="1">
      <c r="A14" s="2" t="s">
        <v>18</v>
      </c>
      <c r="B14" s="10">
        <f>IF(B4&gt;0,B6/B4,"")</f>
        <v>8.0908634647696764E-2</v>
      </c>
      <c r="C14" s="10">
        <f t="shared" ref="C14:K14" si="0">IF(C4&gt;0,C6/C4,"")</f>
        <v>0.10528882627072721</v>
      </c>
      <c r="D14" s="10">
        <f t="shared" si="0"/>
        <v>0.1405631016020075</v>
      </c>
      <c r="E14" s="10">
        <f t="shared" si="0"/>
        <v>0.10662668351017673</v>
      </c>
      <c r="F14" s="10">
        <f t="shared" si="0"/>
        <v>0.11925825172953612</v>
      </c>
      <c r="G14" s="10">
        <f t="shared" si="0"/>
        <v>0.12405570575400104</v>
      </c>
      <c r="H14" s="10">
        <f t="shared" si="0"/>
        <v>0.13035811225557853</v>
      </c>
      <c r="I14" s="10">
        <f t="shared" si="0"/>
        <v>0.10091996926117026</v>
      </c>
      <c r="J14" s="10">
        <f t="shared" si="0"/>
        <v>0.11271293953229625</v>
      </c>
      <c r="K14" s="10">
        <f t="shared" si="0"/>
        <v>0.11749042897810935</v>
      </c>
    </row>
    <row r="22" s="23" customFormat="1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70" zoomScaleNormal="70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F27" sqref="F27"/>
    </sheetView>
  </sheetViews>
  <sheetFormatPr defaultColWidth="8.81640625" defaultRowHeight="14.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>
      <c r="A1" s="2" t="str">
        <f>'Profit &amp; Loss'!A1</f>
        <v>ESCORTS KUBOTA LTD</v>
      </c>
      <c r="E1" t="str">
        <f>UPDATE</f>
        <v/>
      </c>
      <c r="G1"/>
      <c r="J1" s="2" t="s">
        <v>1</v>
      </c>
    </row>
    <row r="2" spans="1:11">
      <c r="G2" s="2"/>
      <c r="H2" s="2"/>
    </row>
    <row r="3" spans="1:11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>
      <c r="A4" t="s">
        <v>24</v>
      </c>
      <c r="B4" s="14">
        <f>'Data Sheet'!B57</f>
        <v>122.58</v>
      </c>
      <c r="C4" s="14">
        <f>'Data Sheet'!C57</f>
        <v>122.58</v>
      </c>
      <c r="D4" s="14">
        <f>'Data Sheet'!D57</f>
        <v>122.58</v>
      </c>
      <c r="E4" s="14">
        <f>'Data Sheet'!E57</f>
        <v>122.58</v>
      </c>
      <c r="F4" s="14">
        <f>'Data Sheet'!F57</f>
        <v>122.58</v>
      </c>
      <c r="G4" s="14">
        <f>'Data Sheet'!G57</f>
        <v>134.83000000000001</v>
      </c>
      <c r="H4" s="14">
        <f>'Data Sheet'!H57</f>
        <v>131.94</v>
      </c>
      <c r="I4" s="14">
        <f>'Data Sheet'!I57</f>
        <v>131.94</v>
      </c>
      <c r="J4" s="14">
        <f>'Data Sheet'!J57</f>
        <v>110.5</v>
      </c>
      <c r="K4" s="14">
        <f>'Data Sheet'!K57</f>
        <v>111.88</v>
      </c>
    </row>
    <row r="5" spans="1:11">
      <c r="A5" t="s">
        <v>25</v>
      </c>
      <c r="B5" s="14">
        <f>'Data Sheet'!B58</f>
        <v>1343.9</v>
      </c>
      <c r="C5" s="14">
        <f>'Data Sheet'!C58</f>
        <v>1498.35</v>
      </c>
      <c r="D5" s="14">
        <f>'Data Sheet'!D58</f>
        <v>2092.56</v>
      </c>
      <c r="E5" s="14">
        <f>'Data Sheet'!E58</f>
        <v>2550.91</v>
      </c>
      <c r="F5" s="14">
        <f>'Data Sheet'!F58</f>
        <v>2994.82</v>
      </c>
      <c r="G5" s="14">
        <f>'Data Sheet'!G58</f>
        <v>4891.3</v>
      </c>
      <c r="H5" s="14">
        <f>'Data Sheet'!H58</f>
        <v>7467.96</v>
      </c>
      <c r="I5" s="14">
        <f>'Data Sheet'!I58</f>
        <v>8054.77</v>
      </c>
      <c r="J5" s="14">
        <f>'Data Sheet'!J58</f>
        <v>9278.01</v>
      </c>
      <c r="K5" s="14">
        <f>'Data Sheet'!K58</f>
        <v>10254.92</v>
      </c>
    </row>
    <row r="6" spans="1:11">
      <c r="A6" t="s">
        <v>71</v>
      </c>
      <c r="B6" s="14">
        <f>'Data Sheet'!B59</f>
        <v>368.12</v>
      </c>
      <c r="C6" s="14">
        <f>'Data Sheet'!C59</f>
        <v>265.43</v>
      </c>
      <c r="D6" s="14">
        <f>'Data Sheet'!D59</f>
        <v>51.09</v>
      </c>
      <c r="E6" s="14">
        <f>'Data Sheet'!E59</f>
        <v>280.95999999999998</v>
      </c>
      <c r="F6" s="14">
        <f>'Data Sheet'!F59</f>
        <v>47.67</v>
      </c>
      <c r="G6" s="14">
        <f>'Data Sheet'!G59</f>
        <v>60.61</v>
      </c>
      <c r="H6" s="14">
        <f>'Data Sheet'!H59</f>
        <v>51.95</v>
      </c>
      <c r="I6" s="14">
        <f>'Data Sheet'!I59</f>
        <v>57.3</v>
      </c>
      <c r="J6" s="14">
        <f>'Data Sheet'!J59</f>
        <v>448.46</v>
      </c>
      <c r="K6" s="14">
        <f>'Data Sheet'!K59</f>
        <v>105.18</v>
      </c>
    </row>
    <row r="7" spans="1:11">
      <c r="A7" t="s">
        <v>72</v>
      </c>
      <c r="B7" s="14">
        <f>'Data Sheet'!B60</f>
        <v>1133.58</v>
      </c>
      <c r="C7" s="14">
        <f>'Data Sheet'!C60</f>
        <v>1312.86</v>
      </c>
      <c r="D7" s="14">
        <f>'Data Sheet'!D60</f>
        <v>1706.3</v>
      </c>
      <c r="E7" s="14">
        <f>'Data Sheet'!E60</f>
        <v>1752.52</v>
      </c>
      <c r="F7" s="14">
        <f>'Data Sheet'!F60</f>
        <v>1848.89</v>
      </c>
      <c r="G7" s="14">
        <f>'Data Sheet'!G60</f>
        <v>1791.43</v>
      </c>
      <c r="H7" s="14">
        <f>'Data Sheet'!H60</f>
        <v>1455.89</v>
      </c>
      <c r="I7" s="14">
        <f>'Data Sheet'!I60</f>
        <v>1840.81</v>
      </c>
      <c r="J7" s="14">
        <f>'Data Sheet'!J60</f>
        <v>2563.39</v>
      </c>
      <c r="K7" s="14">
        <f>'Data Sheet'!K60</f>
        <v>2622.71</v>
      </c>
    </row>
    <row r="8" spans="1:11" s="2" customFormat="1">
      <c r="A8" s="2" t="s">
        <v>26</v>
      </c>
      <c r="B8" s="15">
        <f>'Data Sheet'!B61</f>
        <v>2968.18</v>
      </c>
      <c r="C8" s="15">
        <f>'Data Sheet'!C61</f>
        <v>3199.22</v>
      </c>
      <c r="D8" s="15">
        <f>'Data Sheet'!D61</f>
        <v>3972.53</v>
      </c>
      <c r="E8" s="15">
        <f>'Data Sheet'!E61</f>
        <v>4706.97</v>
      </c>
      <c r="F8" s="15">
        <f>'Data Sheet'!F61</f>
        <v>5013.96</v>
      </c>
      <c r="G8" s="15">
        <f>'Data Sheet'!G61</f>
        <v>6878.17</v>
      </c>
      <c r="H8" s="15">
        <f>'Data Sheet'!H61</f>
        <v>9107.74</v>
      </c>
      <c r="I8" s="15">
        <f>'Data Sheet'!I61</f>
        <v>10084.82</v>
      </c>
      <c r="J8" s="15">
        <f>'Data Sheet'!J61</f>
        <v>12400.36</v>
      </c>
      <c r="K8" s="15">
        <f>'Data Sheet'!K61</f>
        <v>13094.69</v>
      </c>
    </row>
    <row r="9" spans="1:11" s="2" customFormat="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t="s">
        <v>27</v>
      </c>
      <c r="B10" s="14">
        <f>'Data Sheet'!B62</f>
        <v>1539.02</v>
      </c>
      <c r="C10" s="14">
        <f>'Data Sheet'!C62</f>
        <v>1581.14</v>
      </c>
      <c r="D10" s="14">
        <f>'Data Sheet'!D62</f>
        <v>1587.8</v>
      </c>
      <c r="E10" s="14">
        <f>'Data Sheet'!E62</f>
        <v>1647.23</v>
      </c>
      <c r="F10" s="14">
        <f>'Data Sheet'!F62</f>
        <v>1702.41</v>
      </c>
      <c r="G10" s="14">
        <f>'Data Sheet'!G62</f>
        <v>1796.23</v>
      </c>
      <c r="H10" s="14">
        <f>'Data Sheet'!H62</f>
        <v>1841.05</v>
      </c>
      <c r="I10" s="14">
        <f>'Data Sheet'!I62</f>
        <v>1891.15</v>
      </c>
      <c r="J10" s="14">
        <f>'Data Sheet'!J62</f>
        <v>2165.2800000000002</v>
      </c>
      <c r="K10" s="14">
        <f>'Data Sheet'!K62</f>
        <v>2053.1799999999998</v>
      </c>
    </row>
    <row r="11" spans="1:11">
      <c r="A11" t="s">
        <v>28</v>
      </c>
      <c r="B11" s="14">
        <f>'Data Sheet'!B63</f>
        <v>58.43</v>
      </c>
      <c r="C11" s="14">
        <f>'Data Sheet'!C63</f>
        <v>34.700000000000003</v>
      </c>
      <c r="D11" s="14">
        <f>'Data Sheet'!D63</f>
        <v>65.72</v>
      </c>
      <c r="E11" s="14">
        <f>'Data Sheet'!E63</f>
        <v>79.959999999999994</v>
      </c>
      <c r="F11" s="14">
        <f>'Data Sheet'!F63</f>
        <v>124.66</v>
      </c>
      <c r="G11" s="14">
        <f>'Data Sheet'!G63</f>
        <v>64.69</v>
      </c>
      <c r="H11" s="14">
        <f>'Data Sheet'!H63</f>
        <v>87.8</v>
      </c>
      <c r="I11" s="14">
        <f>'Data Sheet'!I63</f>
        <v>113.68</v>
      </c>
      <c r="J11" s="14">
        <f>'Data Sheet'!J63</f>
        <v>161.4</v>
      </c>
      <c r="K11" s="14">
        <f>'Data Sheet'!K63</f>
        <v>152.54</v>
      </c>
    </row>
    <row r="12" spans="1:11">
      <c r="A12" t="s">
        <v>29</v>
      </c>
      <c r="B12" s="14">
        <f>'Data Sheet'!B64</f>
        <v>63.66</v>
      </c>
      <c r="C12" s="14">
        <f>'Data Sheet'!C64</f>
        <v>212.34</v>
      </c>
      <c r="D12" s="14">
        <f>'Data Sheet'!D64</f>
        <v>549.04</v>
      </c>
      <c r="E12" s="14">
        <f>'Data Sheet'!E64</f>
        <v>490.79</v>
      </c>
      <c r="F12" s="14">
        <f>'Data Sheet'!F64</f>
        <v>797.36</v>
      </c>
      <c r="G12" s="14">
        <f>'Data Sheet'!G64</f>
        <v>1938.02</v>
      </c>
      <c r="H12" s="14">
        <f>'Data Sheet'!H64</f>
        <v>4835.84</v>
      </c>
      <c r="I12" s="14">
        <f>'Data Sheet'!I64</f>
        <v>4766.6899999999996</v>
      </c>
      <c r="J12" s="14">
        <f>'Data Sheet'!J64</f>
        <v>5019.4799999999996</v>
      </c>
      <c r="K12" s="14">
        <f>'Data Sheet'!K64</f>
        <v>5605.21</v>
      </c>
    </row>
    <row r="13" spans="1:11">
      <c r="A13" t="s">
        <v>73</v>
      </c>
      <c r="B13" s="14">
        <f>'Data Sheet'!B65</f>
        <v>1307.07</v>
      </c>
      <c r="C13" s="14">
        <f>'Data Sheet'!C65</f>
        <v>1371.04</v>
      </c>
      <c r="D13" s="14">
        <f>'Data Sheet'!D65</f>
        <v>1769.97</v>
      </c>
      <c r="E13" s="14">
        <f>'Data Sheet'!E65</f>
        <v>2488.9899999999998</v>
      </c>
      <c r="F13" s="14">
        <f>'Data Sheet'!F65</f>
        <v>2389.5300000000002</v>
      </c>
      <c r="G13" s="14">
        <f>'Data Sheet'!G65</f>
        <v>3079.23</v>
      </c>
      <c r="H13" s="14">
        <f>'Data Sheet'!H65</f>
        <v>2343.0500000000002</v>
      </c>
      <c r="I13" s="14">
        <f>'Data Sheet'!I65</f>
        <v>3313.3</v>
      </c>
      <c r="J13" s="14">
        <f>'Data Sheet'!J65</f>
        <v>5054.2</v>
      </c>
      <c r="K13" s="14">
        <f>'Data Sheet'!K65</f>
        <v>5283.76</v>
      </c>
    </row>
    <row r="14" spans="1:11" s="2" customFormat="1">
      <c r="A14" s="2" t="s">
        <v>26</v>
      </c>
      <c r="B14" s="14">
        <f>'Data Sheet'!B66</f>
        <v>2968.18</v>
      </c>
      <c r="C14" s="14">
        <f>'Data Sheet'!C66</f>
        <v>3199.22</v>
      </c>
      <c r="D14" s="14">
        <f>'Data Sheet'!D66</f>
        <v>3972.53</v>
      </c>
      <c r="E14" s="14">
        <f>'Data Sheet'!E66</f>
        <v>4706.97</v>
      </c>
      <c r="F14" s="14">
        <f>'Data Sheet'!F66</f>
        <v>5013.96</v>
      </c>
      <c r="G14" s="14">
        <f>'Data Sheet'!G66</f>
        <v>6878.17</v>
      </c>
      <c r="H14" s="14">
        <f>'Data Sheet'!H66</f>
        <v>9107.74</v>
      </c>
      <c r="I14" s="14">
        <f>'Data Sheet'!I66</f>
        <v>10084.82</v>
      </c>
      <c r="J14" s="14">
        <f>'Data Sheet'!J66</f>
        <v>12400.36</v>
      </c>
      <c r="K14" s="14">
        <f>'Data Sheet'!K66</f>
        <v>13094.69</v>
      </c>
    </row>
    <row r="15" spans="1:11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t="s">
        <v>30</v>
      </c>
      <c r="B16" s="4">
        <f>B13-B7</f>
        <v>173.49</v>
      </c>
      <c r="C16" s="4">
        <f t="shared" ref="C16:K16" si="0">C13-C7</f>
        <v>58.180000000000064</v>
      </c>
      <c r="D16" s="4">
        <f t="shared" si="0"/>
        <v>63.670000000000073</v>
      </c>
      <c r="E16" s="4">
        <f t="shared" si="0"/>
        <v>736.4699999999998</v>
      </c>
      <c r="F16" s="4">
        <f t="shared" si="0"/>
        <v>540.6400000000001</v>
      </c>
      <c r="G16" s="4">
        <f t="shared" si="0"/>
        <v>1287.8</v>
      </c>
      <c r="H16" s="4">
        <f t="shared" si="0"/>
        <v>887.16000000000008</v>
      </c>
      <c r="I16" s="4">
        <f t="shared" si="0"/>
        <v>1472.4900000000002</v>
      </c>
      <c r="J16" s="4">
        <f t="shared" si="0"/>
        <v>2490.81</v>
      </c>
      <c r="K16" s="4">
        <f t="shared" si="0"/>
        <v>2661.05</v>
      </c>
    </row>
    <row r="17" spans="1:11">
      <c r="A17" t="s">
        <v>44</v>
      </c>
      <c r="B17" s="4">
        <f>'Data Sheet'!B67</f>
        <v>374.97</v>
      </c>
      <c r="C17" s="4">
        <f>'Data Sheet'!C67</f>
        <v>456.45</v>
      </c>
      <c r="D17" s="4">
        <f>'Data Sheet'!D67</f>
        <v>592</v>
      </c>
      <c r="E17" s="4">
        <f>'Data Sheet'!E67</f>
        <v>931.05</v>
      </c>
      <c r="F17" s="4">
        <f>'Data Sheet'!F67</f>
        <v>731.86</v>
      </c>
      <c r="G17" s="4">
        <f>'Data Sheet'!G67</f>
        <v>657.58</v>
      </c>
      <c r="H17" s="4">
        <f>'Data Sheet'!H67</f>
        <v>792.62</v>
      </c>
      <c r="I17" s="4">
        <f>'Data Sheet'!I67</f>
        <v>1179.6500000000001</v>
      </c>
      <c r="J17" s="4">
        <f>'Data Sheet'!J67</f>
        <v>1427.91</v>
      </c>
      <c r="K17" s="4">
        <f>'Data Sheet'!K67</f>
        <v>1331.84</v>
      </c>
    </row>
    <row r="18" spans="1:11">
      <c r="A18" t="s">
        <v>45</v>
      </c>
      <c r="B18" s="4">
        <f>'Data Sheet'!B68</f>
        <v>456.76</v>
      </c>
      <c r="C18" s="4">
        <f>'Data Sheet'!C68</f>
        <v>450.3</v>
      </c>
      <c r="D18" s="4">
        <f>'Data Sheet'!D68</f>
        <v>565.73</v>
      </c>
      <c r="E18" s="4">
        <f>'Data Sheet'!E68</f>
        <v>857.42</v>
      </c>
      <c r="F18" s="4">
        <f>'Data Sheet'!F68</f>
        <v>883.36</v>
      </c>
      <c r="G18" s="4">
        <f>'Data Sheet'!G68</f>
        <v>718.16</v>
      </c>
      <c r="H18" s="4">
        <f>'Data Sheet'!H68</f>
        <v>846.56</v>
      </c>
      <c r="I18" s="4">
        <f>'Data Sheet'!I68</f>
        <v>1217.68</v>
      </c>
      <c r="J18" s="4">
        <f>'Data Sheet'!J68</f>
        <v>1716.16</v>
      </c>
      <c r="K18" s="4">
        <f>'Data Sheet'!K68</f>
        <v>1398.99</v>
      </c>
    </row>
    <row r="20" spans="1:11">
      <c r="A20" t="s">
        <v>46</v>
      </c>
      <c r="B20" s="4">
        <f>IF('Profit &amp; Loss'!B4&gt;0,'Balance Sheet'!B17/('Profit &amp; Loss'!B4/365),0)</f>
        <v>39.878918644867852</v>
      </c>
      <c r="C20" s="4">
        <f>IF('Profit &amp; Loss'!C4&gt;0,'Balance Sheet'!C17/('Profit &amp; Loss'!C4/365),0)</f>
        <v>40.190829198157928</v>
      </c>
      <c r="D20" s="4">
        <f>IF('Profit &amp; Loss'!D4&gt;0,'Balance Sheet'!D17/('Profit &amp; Loss'!D4/365),0)</f>
        <v>42.709128068087935</v>
      </c>
      <c r="E20" s="4">
        <f>IF('Profit &amp; Loss'!E4&gt;0,'Balance Sheet'!E17/('Profit &amp; Loss'!E4/365),0)</f>
        <v>54.268949955445684</v>
      </c>
      <c r="F20" s="4">
        <f>IF('Profit &amp; Loss'!F4&gt;0,'Balance Sheet'!F17/('Profit &amp; Loss'!F4/365),0)</f>
        <v>45.976723252135507</v>
      </c>
      <c r="G20" s="4">
        <f>IF('Profit &amp; Loss'!G4&gt;0,'Balance Sheet'!G17/('Profit &amp; Loss'!G4/365),0)</f>
        <v>34.217611719857096</v>
      </c>
      <c r="H20" s="4">
        <f>IF('Profit &amp; Loss'!H4&gt;0,'Balance Sheet'!H17/('Profit &amp; Loss'!H4/365),0)</f>
        <v>39.725415885700947</v>
      </c>
      <c r="I20" s="4">
        <f>IF('Profit &amp; Loss'!I4&gt;0,'Balance Sheet'!I17/('Profit &amp; Loss'!I4/365),0)</f>
        <v>51.08412457926439</v>
      </c>
      <c r="J20" s="4">
        <f>IF('Profit &amp; Loss'!J4&gt;0,'Balance Sheet'!J17/('Profit &amp; Loss'!J4/365),0)</f>
        <v>53.162887268847435</v>
      </c>
      <c r="K20" s="4">
        <f>IF('Profit &amp; Loss'!K4&gt;0,'Balance Sheet'!K17/('Profit &amp; Loss'!K4/365),0)</f>
        <v>47.454831567726295</v>
      </c>
    </row>
    <row r="21" spans="1:11">
      <c r="A21" t="s">
        <v>47</v>
      </c>
      <c r="B21" s="4">
        <f>IF('Balance Sheet'!B18&gt;0,'Profit &amp; Loss'!B4/'Balance Sheet'!B18,0)</f>
        <v>7.5137709081355633</v>
      </c>
      <c r="C21" s="4">
        <f>IF('Balance Sheet'!C18&gt;0,'Profit &amp; Loss'!C4/'Balance Sheet'!C18,0)</f>
        <v>9.2057073062402832</v>
      </c>
      <c r="D21" s="4">
        <f>IF('Balance Sheet'!D18&gt;0,'Profit &amp; Loss'!D4/'Balance Sheet'!D18,0)</f>
        <v>8.9430293602955473</v>
      </c>
      <c r="E21" s="4">
        <f>IF('Balance Sheet'!E18&gt;0,'Profit &amp; Loss'!E4/'Balance Sheet'!E18,0)</f>
        <v>7.3033285904224305</v>
      </c>
      <c r="F21" s="4">
        <f>IF('Balance Sheet'!F18&gt;0,'Profit &amp; Loss'!F4/'Balance Sheet'!F18,0)</f>
        <v>6.5772618185111398</v>
      </c>
      <c r="G21" s="4">
        <f>IF('Balance Sheet'!G18&gt;0,'Profit &amp; Loss'!G4/'Balance Sheet'!G18,0)</f>
        <v>9.7672106494374518</v>
      </c>
      <c r="H21" s="4">
        <f>IF('Balance Sheet'!H18&gt;0,'Profit &amp; Loss'!H4/'Balance Sheet'!H18,0)</f>
        <v>8.6026389151389147</v>
      </c>
      <c r="I21" s="4">
        <f>IF('Balance Sheet'!I18&gt;0,'Profit &amp; Loss'!I4/'Balance Sheet'!I18,0)</f>
        <v>6.9219253005715791</v>
      </c>
      <c r="J21" s="4">
        <f>IF('Balance Sheet'!J18&gt;0,'Profit &amp; Loss'!J4/'Balance Sheet'!J18,0)</f>
        <v>5.7125151501025542</v>
      </c>
      <c r="K21" s="4">
        <f>IF('Balance Sheet'!K18&gt;0,'Profit &amp; Loss'!K4/'Balance Sheet'!K18,0)</f>
        <v>7.3223396879177116</v>
      </c>
    </row>
    <row r="23" spans="1:11" s="2" customFormat="1">
      <c r="A23" s="2" t="s">
        <v>59</v>
      </c>
      <c r="B23" s="10">
        <f>IF(SUM('Balance Sheet'!B4:B5)&gt;0,'Profit &amp; Loss'!B12/SUM('Balance Sheet'!B4:B5),"")</f>
        <v>4.8149309912170639E-2</v>
      </c>
      <c r="C23" s="10">
        <f>IF(SUM('Balance Sheet'!C4:C5)&gt;0,'Profit &amp; Loss'!C12/SUM('Balance Sheet'!C4:C5),"")</f>
        <v>8.0984373168489707E-2</v>
      </c>
      <c r="D23" s="10">
        <f>IF(SUM('Balance Sheet'!D4:D5)&gt;0,'Profit &amp; Loss'!D12/SUM('Balance Sheet'!D4:D5),"")</f>
        <v>0.15665826990619103</v>
      </c>
      <c r="E23" s="10">
        <f>IF(SUM('Balance Sheet'!E4:E5)&gt;0,'Profit &amp; Loss'!E12/SUM('Balance Sheet'!E4:E5),"")</f>
        <v>0.17914037456657778</v>
      </c>
      <c r="F23" s="10">
        <f>IF(SUM('Balance Sheet'!F4:F5)&gt;0,'Profit &amp; Loss'!F12/SUM('Balance Sheet'!F4:F5),"")</f>
        <v>0.1514884198370437</v>
      </c>
      <c r="G23" s="10">
        <f>IF(SUM('Balance Sheet'!G4:G5)&gt;0,'Profit &amp; Loss'!G12/SUM('Balance Sheet'!G4:G5),"")</f>
        <v>0.17338588536309249</v>
      </c>
      <c r="H23" s="10">
        <f>IF(SUM('Balance Sheet'!H4:H5)&gt;0,'Profit &amp; Loss'!H12/SUM('Balance Sheet'!H4:H5),"")</f>
        <v>9.6905222437137339E-2</v>
      </c>
      <c r="I23" s="10">
        <f>IF(SUM('Balance Sheet'!I4:I5)&gt;0,'Profit &amp; Loss'!I12/SUM('Balance Sheet'!I4:I5),"")</f>
        <v>7.7782161576506303E-2</v>
      </c>
      <c r="J23" s="10">
        <f>IF(SUM('Balance Sheet'!J4:J5)&gt;0,'Profit &amp; Loss'!J12/SUM('Balance Sheet'!J4:J5),"")</f>
        <v>0.11467740887531674</v>
      </c>
      <c r="K23" s="10">
        <f>IF(SUM('Balance Sheet'!K4:K5)&gt;0,'Profit &amp; Loss'!K12/SUM('Balance Sheet'!K4:K5),"")</f>
        <v>0.12201836632326274</v>
      </c>
    </row>
    <row r="24" spans="1:11" s="2" customFormat="1">
      <c r="A24" s="2" t="s">
        <v>60</v>
      </c>
      <c r="B24" s="10"/>
      <c r="C24" s="10">
        <f>IF((B4+B5+B6+C4+C5+C6)&gt;0,('Profit &amp; Loss'!C10+'Profit &amp; Loss'!C9)*2/(B4+B5+B6+C4+C5+C6),"")</f>
        <v>0.12911184210526316</v>
      </c>
      <c r="D24" s="10">
        <f>IF((C4+C5+C6+D4+D5+D6)&gt;0,('Profit &amp; Loss'!D10+'Profit &amp; Loss'!D9)*2/(C4+C5+C6+D4+D5+D6),"")</f>
        <v>0.25938992291557794</v>
      </c>
      <c r="E24" s="10">
        <f>IF((D4+D5+D6+E4+E5+E6)&gt;0,('Profit &amp; Loss'!E10+'Profit &amp; Loss'!E9)*2/(D4+D5+D6+E4+E5+E6),"")</f>
        <v>0.28140012412176191</v>
      </c>
      <c r="F24" s="10">
        <f>IF((E4+E5+E6+F4+F5+F6)&gt;0,('Profit &amp; Loss'!F10+'Profit &amp; Loss'!F9)*2/(E4+E5+E6+F4+F5+F6),"")</f>
        <v>0.20997725311789159</v>
      </c>
      <c r="G24" s="10">
        <f>IF((F4+F5+F6+G4+G5+G6)&gt;0,('Profit &amp; Loss'!G10+'Profit &amp; Loss'!G9)*2/(F4+F5+F6+G4+G5+G6),"")</f>
        <v>0.28311849157942309</v>
      </c>
      <c r="H24" s="10">
        <f>IF((G4+G5+G6+H4+H5+H6)&gt;0,('Profit &amp; Loss'!H10+'Profit &amp; Loss'!H9)*2/(G4+G5+G6+H4+H5+H6),"")</f>
        <v>0.15822787294355184</v>
      </c>
      <c r="I24" s="10">
        <f>IF((H4+H5+H6+I4+I5+I6)&gt;0,('Profit &amp; Loss'!I10+'Profit &amp; Loss'!I9)*2/(H4+H5+H6+I4+I5+I6),"")</f>
        <v>0.10667683283571949</v>
      </c>
      <c r="J24" s="10">
        <f>IF((I4+I5+I6+J4+J5+J6)&gt;0,('Profit &amp; Loss'!J10+'Profit &amp; Loss'!J9)*2/(I4+I5+I6+J4+J5+J6),"")</f>
        <v>0.1583630975754633</v>
      </c>
      <c r="K24" s="10">
        <f>IF((J4+J5+J6+K4+K5+K6)&gt;0,('Profit &amp; Loss'!K10+'Profit &amp; Loss'!K9)*2/(J4+J5+J6+K4+K5+K6),"")</f>
        <v>0.14979307152757779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76" zoomScaleNormal="150" zoomScalePageLayoutView="15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/>
  <cols>
    <col min="1" max="1" width="26.81640625" bestFit="1" customWidth="1"/>
    <col min="2" max="6" width="13.453125" customWidth="1"/>
    <col min="7" max="11" width="13.453125" bestFit="1" customWidth="1"/>
  </cols>
  <sheetData>
    <row r="1" spans="1:11" s="2" customFormat="1">
      <c r="A1" s="2" t="str">
        <f>'Balance Sheet'!A1</f>
        <v>ESCORTS KUBOTA LTD</v>
      </c>
      <c r="E1" t="str">
        <f>UPDATE</f>
        <v/>
      </c>
      <c r="F1"/>
      <c r="J1" s="2" t="s">
        <v>1</v>
      </c>
    </row>
    <row r="3" spans="1:11" s="2" customFormat="1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>
      <c r="A4" s="2" t="s">
        <v>32</v>
      </c>
      <c r="B4" s="1">
        <f>'Data Sheet'!B82</f>
        <v>212.24</v>
      </c>
      <c r="C4" s="1">
        <f>'Data Sheet'!C82</f>
        <v>303.83</v>
      </c>
      <c r="D4" s="1">
        <f>'Data Sheet'!D82</f>
        <v>460.08</v>
      </c>
      <c r="E4" s="1">
        <f>'Data Sheet'!E82</f>
        <v>-234.31</v>
      </c>
      <c r="F4" s="1">
        <f>'Data Sheet'!F82</f>
        <v>797.16</v>
      </c>
      <c r="G4" s="1">
        <f>'Data Sheet'!G82</f>
        <v>1128.6600000000001</v>
      </c>
      <c r="H4" s="1">
        <f>'Data Sheet'!H82</f>
        <v>32.28</v>
      </c>
      <c r="I4" s="1">
        <f>'Data Sheet'!I82</f>
        <v>223.91</v>
      </c>
      <c r="J4" s="1">
        <f>'Data Sheet'!J82</f>
        <v>788.6</v>
      </c>
      <c r="K4" s="1">
        <f>'Data Sheet'!K82</f>
        <v>1003.19</v>
      </c>
    </row>
    <row r="5" spans="1:11">
      <c r="A5" t="s">
        <v>33</v>
      </c>
      <c r="B5" s="6">
        <f>'Data Sheet'!B83</f>
        <v>-44.09</v>
      </c>
      <c r="C5" s="6">
        <f>'Data Sheet'!C83</f>
        <v>-154.61000000000001</v>
      </c>
      <c r="D5" s="6">
        <f>'Data Sheet'!D83</f>
        <v>-374.18</v>
      </c>
      <c r="E5" s="6">
        <f>'Data Sheet'!E83</f>
        <v>-17.66</v>
      </c>
      <c r="F5" s="6">
        <f>'Data Sheet'!F83</f>
        <v>-420.87</v>
      </c>
      <c r="G5" s="6">
        <f>'Data Sheet'!G83</f>
        <v>-2195.15</v>
      </c>
      <c r="H5" s="6">
        <f>'Data Sheet'!H83</f>
        <v>-1856.39</v>
      </c>
      <c r="I5" s="6">
        <f>'Data Sheet'!I83</f>
        <v>-62.05</v>
      </c>
      <c r="J5" s="6">
        <f>'Data Sheet'!J83</f>
        <v>-759.06</v>
      </c>
      <c r="K5" s="6">
        <f>'Data Sheet'!K83</f>
        <v>-193.85</v>
      </c>
    </row>
    <row r="6" spans="1:11">
      <c r="A6" t="s">
        <v>34</v>
      </c>
      <c r="B6" s="6">
        <f>'Data Sheet'!B84</f>
        <v>-190.89</v>
      </c>
      <c r="C6" s="6">
        <f>'Data Sheet'!C84</f>
        <v>-113.12</v>
      </c>
      <c r="D6" s="6">
        <f>'Data Sheet'!D84</f>
        <v>-0.99</v>
      </c>
      <c r="E6" s="6">
        <f>'Data Sheet'!E84</f>
        <v>190.89</v>
      </c>
      <c r="F6" s="6">
        <f>'Data Sheet'!F84</f>
        <v>-300.45</v>
      </c>
      <c r="G6" s="6">
        <f>'Data Sheet'!G84</f>
        <v>1003.34</v>
      </c>
      <c r="H6" s="6">
        <f>'Data Sheet'!H84</f>
        <v>1809.88</v>
      </c>
      <c r="I6" s="6">
        <f>'Data Sheet'!I84</f>
        <v>-71.22</v>
      </c>
      <c r="J6" s="6">
        <f>'Data Sheet'!J84</f>
        <v>24.77</v>
      </c>
      <c r="K6" s="6">
        <f>'Data Sheet'!K84</f>
        <v>-701.86</v>
      </c>
    </row>
    <row r="7" spans="1:11" s="2" customFormat="1">
      <c r="A7" s="2" t="s">
        <v>35</v>
      </c>
      <c r="B7" s="1">
        <f>'Data Sheet'!B85</f>
        <v>-22.74</v>
      </c>
      <c r="C7" s="1">
        <f>'Data Sheet'!C85</f>
        <v>36.1</v>
      </c>
      <c r="D7" s="1">
        <f>'Data Sheet'!D85</f>
        <v>84.91</v>
      </c>
      <c r="E7" s="1">
        <f>'Data Sheet'!E85</f>
        <v>-61.08</v>
      </c>
      <c r="F7" s="1">
        <f>'Data Sheet'!F85</f>
        <v>75.84</v>
      </c>
      <c r="G7" s="1">
        <f>'Data Sheet'!G85</f>
        <v>-63.15</v>
      </c>
      <c r="H7" s="1">
        <f>'Data Sheet'!H85</f>
        <v>-14.23</v>
      </c>
      <c r="I7" s="1">
        <f>'Data Sheet'!I85</f>
        <v>90.64</v>
      </c>
      <c r="J7" s="1">
        <f>'Data Sheet'!J85</f>
        <v>54.31</v>
      </c>
      <c r="K7" s="1">
        <f>'Data Sheet'!K85</f>
        <v>107.48</v>
      </c>
    </row>
    <row r="8" spans="1:11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95" zoomScaleNormal="150" zoomScalePageLayoutView="150" workbookViewId="0">
      <selection activeCell="B16" sqref="B16"/>
    </sheetView>
  </sheetViews>
  <sheetFormatPr defaultColWidth="8.81640625" defaultRowHeight="14.5"/>
  <cols>
    <col min="1" max="1" width="8.81640625" style="2"/>
    <col min="2" max="2" width="10.453125" customWidth="1"/>
    <col min="3" max="3" width="13.36328125" style="20" customWidth="1"/>
    <col min="6" max="6" width="6.81640625" customWidth="1"/>
  </cols>
  <sheetData>
    <row r="1" spans="1:7" ht="21">
      <c r="A1" s="19" t="s">
        <v>56</v>
      </c>
    </row>
    <row r="3" spans="1:7">
      <c r="A3" s="2" t="s">
        <v>48</v>
      </c>
    </row>
    <row r="4" spans="1:7">
      <c r="B4" t="s">
        <v>90</v>
      </c>
    </row>
    <row r="5" spans="1:7">
      <c r="B5" t="s">
        <v>49</v>
      </c>
    </row>
    <row r="7" spans="1:7">
      <c r="A7" s="2" t="s">
        <v>50</v>
      </c>
    </row>
    <row r="8" spans="1:7">
      <c r="B8" t="s">
        <v>51</v>
      </c>
      <c r="C8" s="21" t="s">
        <v>91</v>
      </c>
    </row>
    <row r="10" spans="1:7">
      <c r="A10" s="2" t="s">
        <v>52</v>
      </c>
    </row>
    <row r="11" spans="1:7">
      <c r="B11" t="s">
        <v>53</v>
      </c>
    </row>
    <row r="14" spans="1:7">
      <c r="A14" s="2" t="s">
        <v>54</v>
      </c>
    </row>
    <row r="15" spans="1:7">
      <c r="B15" t="s">
        <v>55</v>
      </c>
    </row>
    <row r="16" spans="1:7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Data Sheet</vt:lpstr>
      <vt:lpstr>HISTORICAL FS</vt:lpstr>
      <vt:lpstr>RATIO ANALYSIS</vt:lpstr>
      <vt:lpstr>FORECASTING</vt:lpstr>
      <vt:lpstr>BETA</vt:lpstr>
      <vt:lpstr>WACC</vt:lpstr>
      <vt:lpstr>VARIANCE ANALYSIS</vt:lpstr>
      <vt:lpstr>TREND ANALYSIS</vt:lpstr>
      <vt:lpstr>SENSITIVITY SCENARIO ANALYSIS</vt:lpstr>
      <vt:lpstr>DCF</vt:lpstr>
      <vt:lpstr>CFS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PRATHA   JAIN</cp:lastModifiedBy>
  <cp:lastPrinted>2012-12-06T18:14:13Z</cp:lastPrinted>
  <dcterms:created xsi:type="dcterms:W3CDTF">2012-08-17T09:55:37Z</dcterms:created>
  <dcterms:modified xsi:type="dcterms:W3CDTF">2026-05-28T12:40:53Z</dcterms:modified>
</cp:coreProperties>
</file>