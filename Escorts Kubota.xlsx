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atham jain\Downloads\"/>
    </mc:Choice>
  </mc:AlternateContent>
  <xr:revisionPtr revIDLastSave="0" documentId="13_ncr:1_{B63073B1-08B7-4F0E-9C08-811BAD729778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FINANCIALS" sheetId="7" r:id="rId1"/>
    <sheet name="Data Sheet" sheetId="6" r:id="rId2"/>
    <sheet name="FORECASTING" sheetId="12" r:id="rId3"/>
    <sheet name="HISTORICAL FS" sheetId="8" r:id="rId4"/>
    <sheet name="BETA" sheetId="14" r:id="rId5"/>
    <sheet name="WACC" sheetId="13" r:id="rId6"/>
    <sheet name="RATIO ANALYSIS" sheetId="11" r:id="rId7"/>
    <sheet name="CFS" sheetId="10" r:id="rId8"/>
    <sheet name="Profit &amp; Loss" sheetId="1" r:id="rId9"/>
    <sheet name="Quarters" sheetId="3" r:id="rId10"/>
    <sheet name="Balance Sheet" sheetId="2" r:id="rId11"/>
    <sheet name="Cash Flow" sheetId="4" r:id="rId12"/>
    <sheet name="Customization" sheetId="5" r:id="rId13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4" i="11" l="1"/>
  <c r="L37" i="13"/>
  <c r="K32" i="13"/>
  <c r="E32" i="13"/>
  <c r="E35" i="13" s="1"/>
  <c r="K31" i="13" s="1"/>
  <c r="C33" i="13"/>
  <c r="D32" i="13" s="1"/>
  <c r="E24" i="13"/>
  <c r="K37" i="13" s="1"/>
  <c r="I17" i="13"/>
  <c r="I16" i="13"/>
  <c r="F17" i="13"/>
  <c r="F16" i="13"/>
  <c r="J12" i="13"/>
  <c r="J13" i="13"/>
  <c r="H10" i="13"/>
  <c r="H11" i="13"/>
  <c r="H12" i="13"/>
  <c r="H13" i="13"/>
  <c r="H14" i="13"/>
  <c r="G11" i="13"/>
  <c r="J11" i="13" s="1"/>
  <c r="G12" i="13"/>
  <c r="G13" i="13"/>
  <c r="G14" i="13"/>
  <c r="J14" i="13" s="1"/>
  <c r="G10" i="13"/>
  <c r="G16" i="13" s="1"/>
  <c r="E14" i="12"/>
  <c r="E15" i="12"/>
  <c r="E16" i="12"/>
  <c r="E17" i="12"/>
  <c r="E18" i="12"/>
  <c r="D15" i="12"/>
  <c r="D16" i="12"/>
  <c r="D17" i="12"/>
  <c r="D18" i="12"/>
  <c r="D14" i="12"/>
  <c r="E6" i="12"/>
  <c r="E7" i="12"/>
  <c r="E8" i="12"/>
  <c r="E9" i="12"/>
  <c r="E10" i="12"/>
  <c r="E11" i="12"/>
  <c r="E12" i="12"/>
  <c r="E13" i="12"/>
  <c r="E5" i="12"/>
  <c r="C2" i="12"/>
  <c r="E6" i="11"/>
  <c r="D52" i="11"/>
  <c r="G52" i="11"/>
  <c r="H52" i="11"/>
  <c r="I52" i="11"/>
  <c r="J52" i="11"/>
  <c r="C40" i="11"/>
  <c r="N40" i="11" s="1"/>
  <c r="D40" i="11"/>
  <c r="E40" i="11"/>
  <c r="F40" i="11"/>
  <c r="G40" i="11"/>
  <c r="H40" i="11"/>
  <c r="I40" i="11"/>
  <c r="J40" i="11"/>
  <c r="K40" i="11"/>
  <c r="C50" i="11"/>
  <c r="C52" i="11" s="1"/>
  <c r="D50" i="11"/>
  <c r="E50" i="11"/>
  <c r="E52" i="11" s="1"/>
  <c r="F50" i="11"/>
  <c r="F52" i="11" s="1"/>
  <c r="G50" i="11"/>
  <c r="H50" i="11"/>
  <c r="I50" i="11"/>
  <c r="J50" i="11"/>
  <c r="K50" i="11"/>
  <c r="K52" i="11" s="1"/>
  <c r="C48" i="11"/>
  <c r="D48" i="11"/>
  <c r="E48" i="11"/>
  <c r="F48" i="11"/>
  <c r="G48" i="11"/>
  <c r="H48" i="11"/>
  <c r="I48" i="11"/>
  <c r="J48" i="11"/>
  <c r="K48" i="11"/>
  <c r="C49" i="11"/>
  <c r="D49" i="11"/>
  <c r="E49" i="11"/>
  <c r="F49" i="11"/>
  <c r="G49" i="11"/>
  <c r="H49" i="11"/>
  <c r="I49" i="11"/>
  <c r="J49" i="11"/>
  <c r="K49" i="11"/>
  <c r="N31" i="11"/>
  <c r="N39" i="11"/>
  <c r="C51" i="11"/>
  <c r="N51" i="11" s="1"/>
  <c r="D51" i="11"/>
  <c r="E51" i="11"/>
  <c r="F51" i="11"/>
  <c r="G51" i="11"/>
  <c r="H51" i="11"/>
  <c r="I51" i="11"/>
  <c r="J51" i="11"/>
  <c r="K51" i="11"/>
  <c r="B51" i="11"/>
  <c r="M51" i="11" s="1"/>
  <c r="B50" i="11"/>
  <c r="B52" i="11" s="1"/>
  <c r="B49" i="11"/>
  <c r="M49" i="11" s="1"/>
  <c r="B48" i="11"/>
  <c r="K43" i="11"/>
  <c r="C43" i="11"/>
  <c r="D43" i="11"/>
  <c r="N43" i="11" s="1"/>
  <c r="E43" i="11"/>
  <c r="F43" i="11"/>
  <c r="G43" i="11"/>
  <c r="H43" i="11"/>
  <c r="I43" i="11"/>
  <c r="J43" i="11"/>
  <c r="C44" i="11"/>
  <c r="D44" i="11"/>
  <c r="M44" i="11" s="1"/>
  <c r="E44" i="11"/>
  <c r="F44" i="11"/>
  <c r="G44" i="11"/>
  <c r="H44" i="11"/>
  <c r="I44" i="11"/>
  <c r="J44" i="11"/>
  <c r="K44" i="11"/>
  <c r="C45" i="11"/>
  <c r="N45" i="11" s="1"/>
  <c r="D45" i="11"/>
  <c r="E45" i="11"/>
  <c r="F45" i="11"/>
  <c r="G45" i="11"/>
  <c r="H45" i="11"/>
  <c r="I45" i="11"/>
  <c r="J45" i="11"/>
  <c r="K45" i="11"/>
  <c r="B45" i="11"/>
  <c r="M45" i="11" s="1"/>
  <c r="B44" i="11"/>
  <c r="B43" i="11"/>
  <c r="M43" i="11" s="1"/>
  <c r="C38" i="11"/>
  <c r="D38" i="11"/>
  <c r="E38" i="11"/>
  <c r="F38" i="11"/>
  <c r="G38" i="11"/>
  <c r="N38" i="11" s="1"/>
  <c r="H38" i="11"/>
  <c r="I38" i="11"/>
  <c r="J38" i="11"/>
  <c r="K38" i="11"/>
  <c r="C39" i="11"/>
  <c r="D39" i="11"/>
  <c r="E39" i="11"/>
  <c r="F39" i="11"/>
  <c r="G39" i="11"/>
  <c r="H39" i="11"/>
  <c r="I39" i="11"/>
  <c r="J39" i="11"/>
  <c r="K39" i="11"/>
  <c r="M39" i="11" s="1"/>
  <c r="B40" i="11"/>
  <c r="M40" i="11" s="1"/>
  <c r="B39" i="11"/>
  <c r="B38" i="11"/>
  <c r="M38" i="11" s="1"/>
  <c r="C27" i="11"/>
  <c r="C33" i="11" s="1"/>
  <c r="N33" i="11" s="1"/>
  <c r="D27" i="11"/>
  <c r="D33" i="11" s="1"/>
  <c r="E27" i="11"/>
  <c r="E33" i="11" s="1"/>
  <c r="F27" i="11"/>
  <c r="F33" i="11" s="1"/>
  <c r="G27" i="11"/>
  <c r="G33" i="11" s="1"/>
  <c r="H27" i="11"/>
  <c r="H33" i="11" s="1"/>
  <c r="I27" i="11"/>
  <c r="I33" i="11" s="1"/>
  <c r="J27" i="11"/>
  <c r="J33" i="11" s="1"/>
  <c r="K27" i="11"/>
  <c r="K33" i="11" s="1"/>
  <c r="C28" i="11"/>
  <c r="C34" i="11" s="1"/>
  <c r="M34" i="11" s="1"/>
  <c r="D28" i="11"/>
  <c r="D34" i="11" s="1"/>
  <c r="E28" i="11"/>
  <c r="E34" i="11" s="1"/>
  <c r="F28" i="11"/>
  <c r="F34" i="11" s="1"/>
  <c r="G28" i="11"/>
  <c r="G34" i="11" s="1"/>
  <c r="H28" i="11"/>
  <c r="H34" i="11" s="1"/>
  <c r="I28" i="11"/>
  <c r="I34" i="11" s="1"/>
  <c r="J28" i="11"/>
  <c r="J34" i="11" s="1"/>
  <c r="K28" i="11"/>
  <c r="K34" i="11" s="1"/>
  <c r="C29" i="11"/>
  <c r="C35" i="11" s="1"/>
  <c r="D29" i="11"/>
  <c r="D35" i="11" s="1"/>
  <c r="N35" i="11" s="1"/>
  <c r="E29" i="11"/>
  <c r="E35" i="11" s="1"/>
  <c r="F29" i="11"/>
  <c r="F35" i="11" s="1"/>
  <c r="G29" i="11"/>
  <c r="G35" i="11" s="1"/>
  <c r="H29" i="11"/>
  <c r="H35" i="11" s="1"/>
  <c r="I29" i="11"/>
  <c r="I35" i="11" s="1"/>
  <c r="J29" i="11"/>
  <c r="J35" i="11" s="1"/>
  <c r="K29" i="11"/>
  <c r="K35" i="11" s="1"/>
  <c r="C30" i="11"/>
  <c r="D30" i="11"/>
  <c r="E30" i="11"/>
  <c r="F30" i="11"/>
  <c r="G30" i="11"/>
  <c r="N30" i="11" s="1"/>
  <c r="H30" i="11"/>
  <c r="I30" i="11"/>
  <c r="J30" i="11"/>
  <c r="K30" i="11"/>
  <c r="C31" i="11"/>
  <c r="D31" i="11"/>
  <c r="E31" i="11"/>
  <c r="F31" i="11"/>
  <c r="G31" i="11"/>
  <c r="H31" i="11"/>
  <c r="I31" i="11"/>
  <c r="J31" i="11"/>
  <c r="K31" i="11"/>
  <c r="M31" i="11" s="1"/>
  <c r="B27" i="11"/>
  <c r="M27" i="11" s="1"/>
  <c r="B31" i="11"/>
  <c r="B30" i="11"/>
  <c r="M30" i="11" s="1"/>
  <c r="B29" i="11"/>
  <c r="M29" i="11" s="1"/>
  <c r="B28" i="11"/>
  <c r="B34" i="11" s="1"/>
  <c r="C32" i="8"/>
  <c r="C7" i="11"/>
  <c r="D7" i="11"/>
  <c r="E7" i="11"/>
  <c r="F7" i="11"/>
  <c r="G7" i="11"/>
  <c r="H7" i="11"/>
  <c r="I7" i="11"/>
  <c r="J7" i="11"/>
  <c r="K7" i="11"/>
  <c r="C24" i="11"/>
  <c r="N24" i="11" s="1"/>
  <c r="D24" i="11"/>
  <c r="E24" i="11"/>
  <c r="F24" i="11"/>
  <c r="G24" i="11"/>
  <c r="H24" i="11"/>
  <c r="I24" i="11"/>
  <c r="J24" i="11"/>
  <c r="K24" i="11"/>
  <c r="B24" i="11"/>
  <c r="M24" i="11" s="1"/>
  <c r="K5" i="11"/>
  <c r="K6" i="11"/>
  <c r="K8" i="11"/>
  <c r="J8" i="11"/>
  <c r="I8" i="11"/>
  <c r="H8" i="11"/>
  <c r="G8" i="11"/>
  <c r="F8" i="11"/>
  <c r="E8" i="11"/>
  <c r="D8" i="11"/>
  <c r="C8" i="11"/>
  <c r="J6" i="11"/>
  <c r="I6" i="11"/>
  <c r="H6" i="11"/>
  <c r="G6" i="11"/>
  <c r="F6" i="11"/>
  <c r="D6" i="11"/>
  <c r="C6" i="11"/>
  <c r="J5" i="11"/>
  <c r="I5" i="11"/>
  <c r="H5" i="11"/>
  <c r="G5" i="11"/>
  <c r="F5" i="11"/>
  <c r="E5" i="11"/>
  <c r="D5" i="11"/>
  <c r="C5" i="11"/>
  <c r="C22" i="11"/>
  <c r="C23" i="11" s="1"/>
  <c r="D22" i="11"/>
  <c r="E22" i="11"/>
  <c r="F22" i="11"/>
  <c r="G22" i="11"/>
  <c r="H22" i="11"/>
  <c r="I22" i="11"/>
  <c r="J22" i="11"/>
  <c r="N22" i="11" s="1"/>
  <c r="K22" i="11"/>
  <c r="B22" i="11"/>
  <c r="M22" i="11" s="1"/>
  <c r="C21" i="11"/>
  <c r="D21" i="11"/>
  <c r="N21" i="11" s="1"/>
  <c r="E21" i="11"/>
  <c r="F21" i="11"/>
  <c r="G21" i="11"/>
  <c r="H21" i="11"/>
  <c r="I21" i="11"/>
  <c r="J21" i="11"/>
  <c r="K21" i="11"/>
  <c r="B21" i="11"/>
  <c r="M21" i="11" s="1"/>
  <c r="C20" i="11"/>
  <c r="M20" i="11" s="1"/>
  <c r="D20" i="11"/>
  <c r="E20" i="11"/>
  <c r="F20" i="11"/>
  <c r="G20" i="11"/>
  <c r="H20" i="11"/>
  <c r="I20" i="11"/>
  <c r="J20" i="11"/>
  <c r="K20" i="11"/>
  <c r="B20" i="11"/>
  <c r="C16" i="11"/>
  <c r="D16" i="11"/>
  <c r="E16" i="11"/>
  <c r="M16" i="11" s="1"/>
  <c r="F16" i="11"/>
  <c r="N16" i="11" s="1"/>
  <c r="G16" i="11"/>
  <c r="H16" i="11"/>
  <c r="I16" i="11"/>
  <c r="J16" i="11"/>
  <c r="K16" i="11"/>
  <c r="C17" i="11"/>
  <c r="N17" i="11" s="1"/>
  <c r="D17" i="11"/>
  <c r="E17" i="11"/>
  <c r="F17" i="11"/>
  <c r="G17" i="11"/>
  <c r="H17" i="11"/>
  <c r="I17" i="11"/>
  <c r="J17" i="11"/>
  <c r="K17" i="11"/>
  <c r="B17" i="11"/>
  <c r="M17" i="11" s="1"/>
  <c r="B16" i="11"/>
  <c r="C13" i="11"/>
  <c r="N13" i="11" s="1"/>
  <c r="D13" i="11"/>
  <c r="E13" i="11"/>
  <c r="F13" i="11"/>
  <c r="G13" i="11"/>
  <c r="H13" i="11"/>
  <c r="I13" i="11"/>
  <c r="J13" i="11"/>
  <c r="K13" i="11"/>
  <c r="B13" i="11"/>
  <c r="M13" i="11" s="1"/>
  <c r="C12" i="11"/>
  <c r="C18" i="11" s="1"/>
  <c r="N18" i="11" s="1"/>
  <c r="D12" i="11"/>
  <c r="D18" i="11" s="1"/>
  <c r="E12" i="11"/>
  <c r="E18" i="11" s="1"/>
  <c r="F12" i="11"/>
  <c r="F18" i="11" s="1"/>
  <c r="G12" i="11"/>
  <c r="G18" i="11" s="1"/>
  <c r="H12" i="11"/>
  <c r="H18" i="11" s="1"/>
  <c r="I12" i="11"/>
  <c r="I18" i="11" s="1"/>
  <c r="J12" i="11"/>
  <c r="J18" i="11" s="1"/>
  <c r="K12" i="11"/>
  <c r="K18" i="11" s="1"/>
  <c r="B12" i="11"/>
  <c r="B18" i="11" s="1"/>
  <c r="M18" i="11" s="1"/>
  <c r="C14" i="11"/>
  <c r="D14" i="11"/>
  <c r="N14" i="11" s="1"/>
  <c r="E14" i="11"/>
  <c r="F14" i="11"/>
  <c r="G14" i="11"/>
  <c r="H14" i="11"/>
  <c r="I14" i="11"/>
  <c r="J14" i="11"/>
  <c r="K14" i="11"/>
  <c r="C11" i="11"/>
  <c r="N11" i="11" s="1"/>
  <c r="D11" i="11"/>
  <c r="E11" i="11"/>
  <c r="F11" i="11"/>
  <c r="G11" i="11"/>
  <c r="H11" i="11"/>
  <c r="I11" i="11"/>
  <c r="J11" i="11"/>
  <c r="K11" i="11"/>
  <c r="C10" i="11"/>
  <c r="D10" i="11"/>
  <c r="E10" i="11"/>
  <c r="F10" i="11"/>
  <c r="N10" i="11" s="1"/>
  <c r="G10" i="11"/>
  <c r="H10" i="11"/>
  <c r="I10" i="11"/>
  <c r="J10" i="11"/>
  <c r="K10" i="11"/>
  <c r="B14" i="11"/>
  <c r="B11" i="11"/>
  <c r="M11" i="11" s="1"/>
  <c r="B10" i="11"/>
  <c r="C4" i="11"/>
  <c r="D4" i="11"/>
  <c r="E4" i="11"/>
  <c r="F4" i="11"/>
  <c r="G4" i="11"/>
  <c r="H4" i="11"/>
  <c r="I4" i="11"/>
  <c r="J4" i="11"/>
  <c r="K4" i="11"/>
  <c r="B4" i="11"/>
  <c r="C2" i="11"/>
  <c r="D2" i="11"/>
  <c r="E2" i="11"/>
  <c r="F2" i="11"/>
  <c r="G2" i="11"/>
  <c r="H2" i="11"/>
  <c r="I2" i="11"/>
  <c r="J2" i="11"/>
  <c r="K2" i="11"/>
  <c r="B2" i="11"/>
  <c r="E1" i="11"/>
  <c r="B2" i="8"/>
  <c r="D98" i="8"/>
  <c r="E98" i="8"/>
  <c r="F98" i="8"/>
  <c r="G98" i="8"/>
  <c r="H98" i="8"/>
  <c r="I98" i="8"/>
  <c r="J98" i="8"/>
  <c r="K98" i="8"/>
  <c r="L98" i="8"/>
  <c r="M98" i="8"/>
  <c r="C98" i="8"/>
  <c r="D96" i="8"/>
  <c r="E96" i="8"/>
  <c r="F96" i="8"/>
  <c r="G96" i="8"/>
  <c r="H96" i="8"/>
  <c r="I96" i="8"/>
  <c r="J96" i="8"/>
  <c r="K96" i="8"/>
  <c r="L96" i="8"/>
  <c r="M96" i="8"/>
  <c r="C96" i="8"/>
  <c r="D95" i="8"/>
  <c r="E95" i="8"/>
  <c r="F95" i="8"/>
  <c r="G95" i="8"/>
  <c r="H95" i="8"/>
  <c r="I95" i="8"/>
  <c r="J95" i="8"/>
  <c r="K95" i="8"/>
  <c r="L95" i="8"/>
  <c r="M95" i="8"/>
  <c r="D94" i="8"/>
  <c r="E94" i="8"/>
  <c r="F94" i="8"/>
  <c r="G94" i="8"/>
  <c r="H94" i="8"/>
  <c r="I94" i="8"/>
  <c r="J94" i="8"/>
  <c r="K94" i="8"/>
  <c r="L94" i="8"/>
  <c r="M94" i="8"/>
  <c r="D93" i="8"/>
  <c r="E93" i="8"/>
  <c r="F93" i="8"/>
  <c r="G93" i="8"/>
  <c r="H93" i="8"/>
  <c r="I93" i="8"/>
  <c r="J93" i="8"/>
  <c r="K93" i="8"/>
  <c r="L93" i="8"/>
  <c r="M93" i="8"/>
  <c r="D92" i="8"/>
  <c r="E92" i="8"/>
  <c r="F92" i="8"/>
  <c r="G92" i="8"/>
  <c r="H92" i="8"/>
  <c r="I92" i="8"/>
  <c r="J92" i="8"/>
  <c r="K92" i="8"/>
  <c r="L92" i="8"/>
  <c r="M92" i="8"/>
  <c r="D91" i="8"/>
  <c r="E91" i="8"/>
  <c r="F91" i="8"/>
  <c r="G91" i="8"/>
  <c r="H91" i="8"/>
  <c r="I91" i="8"/>
  <c r="J91" i="8"/>
  <c r="K91" i="8"/>
  <c r="L91" i="8"/>
  <c r="M91" i="8"/>
  <c r="D90" i="8"/>
  <c r="E90" i="8"/>
  <c r="F90" i="8"/>
  <c r="G90" i="8"/>
  <c r="H90" i="8"/>
  <c r="I90" i="8"/>
  <c r="J90" i="8"/>
  <c r="K90" i="8"/>
  <c r="L90" i="8"/>
  <c r="M90" i="8"/>
  <c r="C90" i="8"/>
  <c r="C91" i="8"/>
  <c r="C92" i="8"/>
  <c r="C93" i="8"/>
  <c r="C94" i="8"/>
  <c r="C95" i="8"/>
  <c r="D89" i="8"/>
  <c r="E89" i="8"/>
  <c r="F89" i="8"/>
  <c r="G89" i="8"/>
  <c r="H89" i="8"/>
  <c r="I89" i="8"/>
  <c r="J89" i="8"/>
  <c r="K89" i="8"/>
  <c r="L89" i="8"/>
  <c r="M89" i="8"/>
  <c r="C89" i="8"/>
  <c r="D86" i="8"/>
  <c r="E86" i="8"/>
  <c r="F86" i="8"/>
  <c r="G86" i="8"/>
  <c r="H86" i="8"/>
  <c r="I86" i="8"/>
  <c r="J86" i="8"/>
  <c r="K86" i="8"/>
  <c r="L86" i="8"/>
  <c r="M86" i="8"/>
  <c r="C86" i="8"/>
  <c r="D85" i="8"/>
  <c r="E85" i="8"/>
  <c r="F85" i="8"/>
  <c r="G85" i="8"/>
  <c r="H85" i="8"/>
  <c r="I85" i="8"/>
  <c r="J85" i="8"/>
  <c r="K85" i="8"/>
  <c r="L85" i="8"/>
  <c r="M85" i="8"/>
  <c r="C85" i="8"/>
  <c r="D83" i="8"/>
  <c r="E83" i="8"/>
  <c r="F83" i="8"/>
  <c r="G83" i="8"/>
  <c r="H83" i="8"/>
  <c r="I83" i="8"/>
  <c r="J83" i="8"/>
  <c r="K83" i="8"/>
  <c r="L83" i="8"/>
  <c r="M83" i="8"/>
  <c r="D84" i="8"/>
  <c r="E84" i="8"/>
  <c r="F84" i="8"/>
  <c r="G84" i="8"/>
  <c r="H84" i="8"/>
  <c r="I84" i="8"/>
  <c r="J84" i="8"/>
  <c r="K84" i="8"/>
  <c r="L84" i="8"/>
  <c r="M84" i="8"/>
  <c r="C84" i="8"/>
  <c r="D82" i="8"/>
  <c r="E82" i="8"/>
  <c r="F82" i="8"/>
  <c r="G82" i="8"/>
  <c r="H82" i="8"/>
  <c r="I82" i="8"/>
  <c r="J82" i="8"/>
  <c r="K82" i="8"/>
  <c r="L82" i="8"/>
  <c r="M82" i="8"/>
  <c r="C83" i="8"/>
  <c r="D81" i="8"/>
  <c r="E81" i="8"/>
  <c r="F81" i="8"/>
  <c r="G81" i="8"/>
  <c r="H81" i="8"/>
  <c r="I81" i="8"/>
  <c r="J81" i="8"/>
  <c r="K81" i="8"/>
  <c r="L81" i="8"/>
  <c r="M81" i="8"/>
  <c r="C82" i="8"/>
  <c r="C81" i="8"/>
  <c r="D79" i="8"/>
  <c r="E79" i="8"/>
  <c r="F79" i="8"/>
  <c r="G79" i="8"/>
  <c r="H79" i="8"/>
  <c r="I79" i="8"/>
  <c r="J79" i="8"/>
  <c r="K79" i="8"/>
  <c r="L79" i="8"/>
  <c r="M79" i="8"/>
  <c r="D80" i="8"/>
  <c r="E80" i="8"/>
  <c r="F80" i="8"/>
  <c r="G80" i="8"/>
  <c r="H80" i="8"/>
  <c r="I80" i="8"/>
  <c r="J80" i="8"/>
  <c r="K80" i="8"/>
  <c r="L80" i="8"/>
  <c r="M80" i="8"/>
  <c r="C80" i="8"/>
  <c r="C79" i="8"/>
  <c r="D76" i="8"/>
  <c r="E76" i="8"/>
  <c r="F76" i="8"/>
  <c r="G76" i="8"/>
  <c r="H76" i="8"/>
  <c r="I76" i="8"/>
  <c r="J76" i="8"/>
  <c r="K76" i="8"/>
  <c r="L76" i="8"/>
  <c r="M76" i="8"/>
  <c r="C76" i="8"/>
  <c r="D69" i="8"/>
  <c r="E69" i="8"/>
  <c r="F69" i="8"/>
  <c r="G69" i="8"/>
  <c r="H69" i="8"/>
  <c r="I69" i="8"/>
  <c r="J69" i="8"/>
  <c r="K69" i="8"/>
  <c r="L69" i="8"/>
  <c r="M69" i="8"/>
  <c r="D70" i="8"/>
  <c r="E70" i="8"/>
  <c r="F70" i="8"/>
  <c r="G70" i="8"/>
  <c r="H70" i="8"/>
  <c r="I70" i="8"/>
  <c r="J70" i="8"/>
  <c r="K70" i="8"/>
  <c r="L70" i="8"/>
  <c r="M70" i="8"/>
  <c r="D71" i="8"/>
  <c r="E71" i="8"/>
  <c r="F71" i="8"/>
  <c r="G71" i="8"/>
  <c r="H71" i="8"/>
  <c r="I71" i="8"/>
  <c r="J71" i="8"/>
  <c r="K71" i="8"/>
  <c r="L71" i="8"/>
  <c r="M71" i="8"/>
  <c r="D72" i="8"/>
  <c r="E72" i="8"/>
  <c r="F72" i="8"/>
  <c r="G72" i="8"/>
  <c r="H72" i="8"/>
  <c r="I72" i="8"/>
  <c r="J72" i="8"/>
  <c r="K72" i="8"/>
  <c r="L72" i="8"/>
  <c r="M72" i="8"/>
  <c r="D73" i="8"/>
  <c r="E73" i="8"/>
  <c r="F73" i="8"/>
  <c r="G73" i="8"/>
  <c r="H73" i="8"/>
  <c r="I73" i="8"/>
  <c r="J73" i="8"/>
  <c r="K73" i="8"/>
  <c r="L73" i="8"/>
  <c r="M73" i="8"/>
  <c r="D74" i="8"/>
  <c r="E74" i="8"/>
  <c r="F74" i="8"/>
  <c r="G74" i="8"/>
  <c r="H74" i="8"/>
  <c r="I74" i="8"/>
  <c r="J74" i="8"/>
  <c r="K74" i="8"/>
  <c r="L74" i="8"/>
  <c r="M74" i="8"/>
  <c r="C70" i="8"/>
  <c r="C71" i="8"/>
  <c r="C72" i="8"/>
  <c r="C73" i="8"/>
  <c r="C74" i="8"/>
  <c r="C69" i="8"/>
  <c r="D65" i="8"/>
  <c r="E65" i="8"/>
  <c r="F65" i="8"/>
  <c r="G65" i="8"/>
  <c r="H65" i="8"/>
  <c r="I65" i="8"/>
  <c r="J65" i="8"/>
  <c r="K65" i="8"/>
  <c r="L65" i="8"/>
  <c r="M65" i="8"/>
  <c r="C65" i="8"/>
  <c r="D61" i="8"/>
  <c r="E61" i="8"/>
  <c r="E63" i="8" s="1"/>
  <c r="F61" i="8"/>
  <c r="F63" i="8" s="1"/>
  <c r="G61" i="8"/>
  <c r="H61" i="8"/>
  <c r="I61" i="8"/>
  <c r="J61" i="8"/>
  <c r="K61" i="8"/>
  <c r="L61" i="8"/>
  <c r="M61" i="8"/>
  <c r="C61" i="8"/>
  <c r="C63" i="8" s="1"/>
  <c r="D56" i="8"/>
  <c r="E56" i="8"/>
  <c r="F56" i="8"/>
  <c r="G56" i="8"/>
  <c r="H56" i="8"/>
  <c r="I56" i="8"/>
  <c r="J56" i="8"/>
  <c r="K56" i="8"/>
  <c r="L56" i="8"/>
  <c r="M56" i="8"/>
  <c r="C56" i="8"/>
  <c r="D55" i="8"/>
  <c r="E55" i="8"/>
  <c r="F55" i="8"/>
  <c r="G55" i="8"/>
  <c r="H55" i="8"/>
  <c r="I55" i="8"/>
  <c r="J55" i="8"/>
  <c r="K55" i="8"/>
  <c r="L55" i="8"/>
  <c r="M55" i="8"/>
  <c r="C55" i="8"/>
  <c r="D54" i="8"/>
  <c r="E54" i="8"/>
  <c r="F54" i="8"/>
  <c r="G54" i="8"/>
  <c r="H54" i="8"/>
  <c r="I54" i="8"/>
  <c r="J54" i="8"/>
  <c r="K54" i="8"/>
  <c r="L54" i="8"/>
  <c r="M54" i="8"/>
  <c r="C54" i="8"/>
  <c r="D53" i="8"/>
  <c r="E53" i="8"/>
  <c r="F53" i="8"/>
  <c r="G53" i="8"/>
  <c r="H53" i="8"/>
  <c r="I53" i="8"/>
  <c r="J53" i="8"/>
  <c r="K53" i="8"/>
  <c r="L53" i="8"/>
  <c r="M53" i="8"/>
  <c r="C53" i="8"/>
  <c r="D52" i="8"/>
  <c r="E52" i="8"/>
  <c r="F52" i="8"/>
  <c r="G52" i="8"/>
  <c r="H52" i="8"/>
  <c r="I52" i="8"/>
  <c r="J52" i="8"/>
  <c r="K52" i="8"/>
  <c r="L52" i="8"/>
  <c r="M52" i="8"/>
  <c r="C52" i="8"/>
  <c r="D50" i="8"/>
  <c r="E50" i="8"/>
  <c r="F50" i="8"/>
  <c r="G50" i="8"/>
  <c r="H50" i="8"/>
  <c r="I50" i="8"/>
  <c r="J50" i="8"/>
  <c r="K50" i="8"/>
  <c r="L50" i="8"/>
  <c r="M50" i="8"/>
  <c r="C50" i="8"/>
  <c r="D49" i="8"/>
  <c r="E49" i="8"/>
  <c r="F49" i="8"/>
  <c r="G49" i="8"/>
  <c r="H49" i="8"/>
  <c r="I49" i="8"/>
  <c r="J49" i="8"/>
  <c r="K49" i="8"/>
  <c r="L49" i="8"/>
  <c r="M49" i="8"/>
  <c r="C49" i="8"/>
  <c r="D48" i="8"/>
  <c r="E48" i="8"/>
  <c r="F48" i="8"/>
  <c r="G48" i="8"/>
  <c r="H48" i="8"/>
  <c r="I48" i="8"/>
  <c r="J48" i="8"/>
  <c r="K48" i="8"/>
  <c r="L48" i="8"/>
  <c r="M48" i="8"/>
  <c r="C48" i="8"/>
  <c r="D47" i="8"/>
  <c r="E47" i="8"/>
  <c r="F47" i="8"/>
  <c r="G47" i="8"/>
  <c r="H47" i="8"/>
  <c r="I47" i="8"/>
  <c r="J47" i="8"/>
  <c r="K47" i="8"/>
  <c r="L47" i="8"/>
  <c r="M47" i="8"/>
  <c r="C47" i="8"/>
  <c r="D46" i="8"/>
  <c r="E46" i="8"/>
  <c r="F46" i="8"/>
  <c r="G46" i="8"/>
  <c r="H46" i="8"/>
  <c r="I46" i="8"/>
  <c r="J46" i="8"/>
  <c r="K46" i="8"/>
  <c r="L46" i="8"/>
  <c r="M46" i="8"/>
  <c r="C46" i="8"/>
  <c r="D63" i="8"/>
  <c r="G63" i="8"/>
  <c r="D58" i="8"/>
  <c r="E58" i="8"/>
  <c r="F58" i="8"/>
  <c r="G58" i="8"/>
  <c r="H58" i="8"/>
  <c r="I58" i="8"/>
  <c r="J58" i="8"/>
  <c r="K58" i="8"/>
  <c r="L58" i="8"/>
  <c r="M58" i="8"/>
  <c r="D59" i="8"/>
  <c r="E59" i="8"/>
  <c r="F59" i="8"/>
  <c r="G59" i="8"/>
  <c r="H59" i="8"/>
  <c r="I59" i="8"/>
  <c r="J59" i="8"/>
  <c r="K59" i="8"/>
  <c r="L59" i="8"/>
  <c r="M59" i="8"/>
  <c r="D60" i="8"/>
  <c r="E60" i="8"/>
  <c r="F60" i="8"/>
  <c r="G60" i="8"/>
  <c r="H60" i="8"/>
  <c r="I60" i="8"/>
  <c r="J60" i="8"/>
  <c r="K60" i="8"/>
  <c r="L60" i="8"/>
  <c r="M60" i="8"/>
  <c r="C59" i="8"/>
  <c r="C60" i="8"/>
  <c r="C58" i="8"/>
  <c r="C5" i="8"/>
  <c r="F6" i="8"/>
  <c r="D43" i="8"/>
  <c r="E43" i="8"/>
  <c r="F43" i="8"/>
  <c r="G43" i="8"/>
  <c r="H43" i="8"/>
  <c r="I43" i="8"/>
  <c r="J43" i="8"/>
  <c r="K43" i="8"/>
  <c r="L43" i="8"/>
  <c r="M43" i="8"/>
  <c r="D41" i="8"/>
  <c r="E41" i="8"/>
  <c r="F41" i="8"/>
  <c r="G41" i="8"/>
  <c r="H41" i="8"/>
  <c r="I41" i="8"/>
  <c r="J41" i="8"/>
  <c r="K41" i="8"/>
  <c r="L41" i="8"/>
  <c r="M41" i="8"/>
  <c r="E38" i="8"/>
  <c r="F38" i="8"/>
  <c r="G38" i="8"/>
  <c r="H38" i="8"/>
  <c r="I38" i="8"/>
  <c r="J38" i="8"/>
  <c r="K38" i="8"/>
  <c r="L38" i="8"/>
  <c r="M38" i="8"/>
  <c r="E40" i="8"/>
  <c r="I40" i="8"/>
  <c r="J40" i="8"/>
  <c r="K40" i="8"/>
  <c r="M40" i="8"/>
  <c r="D35" i="8"/>
  <c r="D40" i="8" s="1"/>
  <c r="E35" i="8"/>
  <c r="F35" i="8"/>
  <c r="F40" i="8" s="1"/>
  <c r="G35" i="8"/>
  <c r="G40" i="8" s="1"/>
  <c r="H35" i="8"/>
  <c r="H40" i="8" s="1"/>
  <c r="I35" i="8"/>
  <c r="J35" i="8"/>
  <c r="K35" i="8"/>
  <c r="L35" i="8"/>
  <c r="L40" i="8" s="1"/>
  <c r="C35" i="8"/>
  <c r="C40" i="8" s="1"/>
  <c r="M29" i="8"/>
  <c r="D29" i="8"/>
  <c r="E29" i="8"/>
  <c r="F29" i="8"/>
  <c r="G29" i="8"/>
  <c r="H29" i="8"/>
  <c r="I29" i="8"/>
  <c r="J29" i="8"/>
  <c r="K29" i="8"/>
  <c r="L29" i="8"/>
  <c r="C29" i="8"/>
  <c r="M23" i="8"/>
  <c r="D23" i="8"/>
  <c r="E23" i="8"/>
  <c r="F23" i="8"/>
  <c r="G23" i="8"/>
  <c r="H23" i="8"/>
  <c r="I23" i="8"/>
  <c r="J23" i="8"/>
  <c r="K23" i="8"/>
  <c r="L23" i="8"/>
  <c r="C23" i="8"/>
  <c r="M20" i="8"/>
  <c r="D20" i="8"/>
  <c r="E20" i="8"/>
  <c r="F20" i="8"/>
  <c r="G20" i="8"/>
  <c r="H20" i="8"/>
  <c r="I20" i="8"/>
  <c r="J20" i="8"/>
  <c r="K20" i="8"/>
  <c r="L20" i="8"/>
  <c r="C20" i="8"/>
  <c r="C14" i="8"/>
  <c r="D14" i="8"/>
  <c r="E14" i="8"/>
  <c r="F14" i="8"/>
  <c r="G14" i="8"/>
  <c r="H14" i="8"/>
  <c r="I14" i="8"/>
  <c r="J14" i="8"/>
  <c r="K14" i="8"/>
  <c r="L14" i="8"/>
  <c r="M8" i="8"/>
  <c r="I9" i="8"/>
  <c r="D8" i="8"/>
  <c r="E8" i="8"/>
  <c r="F8" i="8"/>
  <c r="G8" i="8"/>
  <c r="H8" i="8"/>
  <c r="I8" i="8"/>
  <c r="J8" i="8"/>
  <c r="K8" i="8"/>
  <c r="L8" i="8"/>
  <c r="C8" i="8"/>
  <c r="M5" i="8"/>
  <c r="M15" i="8" s="1"/>
  <c r="D5" i="8"/>
  <c r="E5" i="8"/>
  <c r="F5" i="8"/>
  <c r="G5" i="8"/>
  <c r="G11" i="8" s="1"/>
  <c r="G17" i="8" s="1"/>
  <c r="G18" i="8" s="1"/>
  <c r="H5" i="8"/>
  <c r="I5" i="8"/>
  <c r="I6" i="8" s="1"/>
  <c r="J5" i="8"/>
  <c r="K5" i="8"/>
  <c r="K6" i="8" s="1"/>
  <c r="L5" i="8"/>
  <c r="D3" i="8"/>
  <c r="E3" i="8"/>
  <c r="F3" i="8"/>
  <c r="G3" i="8"/>
  <c r="H3" i="8"/>
  <c r="I3" i="8"/>
  <c r="J3" i="8"/>
  <c r="K3" i="8"/>
  <c r="L3" i="8"/>
  <c r="C3" i="8"/>
  <c r="C6" i="3"/>
  <c r="D6" i="3"/>
  <c r="E6" i="3"/>
  <c r="F6" i="3"/>
  <c r="G6" i="3"/>
  <c r="H6" i="3"/>
  <c r="I6" i="3"/>
  <c r="J6" i="3"/>
  <c r="K6" i="3"/>
  <c r="B6" i="3"/>
  <c r="C5" i="1"/>
  <c r="C6" i="1" s="1"/>
  <c r="C19" i="1" s="1"/>
  <c r="D5" i="1"/>
  <c r="E5" i="1"/>
  <c r="F5" i="1"/>
  <c r="G5" i="1"/>
  <c r="H5" i="1"/>
  <c r="I5" i="1"/>
  <c r="J5" i="1"/>
  <c r="K5" i="1"/>
  <c r="B5" i="1"/>
  <c r="C13" i="1"/>
  <c r="F13" i="1"/>
  <c r="F14" i="1" s="1"/>
  <c r="B6" i="6"/>
  <c r="C17" i="2"/>
  <c r="D17" i="2"/>
  <c r="E17" i="2"/>
  <c r="F17" i="2"/>
  <c r="G17" i="2"/>
  <c r="H17" i="2"/>
  <c r="I17" i="2"/>
  <c r="J17" i="2"/>
  <c r="J20" i="2" s="1"/>
  <c r="K17" i="2"/>
  <c r="C18" i="2"/>
  <c r="D18" i="2"/>
  <c r="E18" i="2"/>
  <c r="F18" i="2"/>
  <c r="G18" i="2"/>
  <c r="H18" i="2"/>
  <c r="I18" i="2"/>
  <c r="J18" i="2"/>
  <c r="K18" i="2"/>
  <c r="B17" i="2"/>
  <c r="C4" i="2"/>
  <c r="D24" i="2" s="1"/>
  <c r="D4" i="2"/>
  <c r="E4" i="2"/>
  <c r="E5" i="2"/>
  <c r="E23" i="2" s="1"/>
  <c r="F4" i="2"/>
  <c r="G4" i="2"/>
  <c r="H4" i="2"/>
  <c r="I4" i="2"/>
  <c r="I5" i="2"/>
  <c r="I23" i="2" s="1"/>
  <c r="J4" i="2"/>
  <c r="J5" i="2"/>
  <c r="J23" i="2" s="1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G16" i="2" s="1"/>
  <c r="H7" i="2"/>
  <c r="I7" i="2"/>
  <c r="I16" i="2" s="1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L11" i="1" s="1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D20" i="2" s="1"/>
  <c r="E4" i="1"/>
  <c r="E20" i="2" s="1"/>
  <c r="F4" i="1"/>
  <c r="F20" i="2" s="1"/>
  <c r="G4" i="1"/>
  <c r="H4" i="1"/>
  <c r="I4" i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G13" i="1" s="1"/>
  <c r="G14" i="1" s="1"/>
  <c r="H12" i="1"/>
  <c r="I12" i="1"/>
  <c r="I13" i="1" s="1"/>
  <c r="J12" i="1"/>
  <c r="J13" i="1" s="1"/>
  <c r="J14" i="1" s="1"/>
  <c r="K12" i="1"/>
  <c r="K23" i="2" s="1"/>
  <c r="C15" i="1"/>
  <c r="C14" i="1" s="1"/>
  <c r="D15" i="1"/>
  <c r="E15" i="1"/>
  <c r="F15" i="1"/>
  <c r="G15" i="1"/>
  <c r="H15" i="1"/>
  <c r="I15" i="1"/>
  <c r="J15" i="1"/>
  <c r="K15" i="1"/>
  <c r="B15" i="1"/>
  <c r="H13" i="1"/>
  <c r="B7" i="1"/>
  <c r="B4" i="1"/>
  <c r="A1" i="1"/>
  <c r="E1" i="6"/>
  <c r="H1" i="1" s="1"/>
  <c r="E1" i="3"/>
  <c r="H16" i="2"/>
  <c r="D16" i="2"/>
  <c r="F23" i="2"/>
  <c r="K16" i="2"/>
  <c r="C16" i="2"/>
  <c r="G23" i="2"/>
  <c r="F16" i="2"/>
  <c r="H23" i="2"/>
  <c r="D23" i="2"/>
  <c r="J6" i="1"/>
  <c r="J19" i="1" s="1"/>
  <c r="K6" i="1"/>
  <c r="K19" i="1" s="1"/>
  <c r="G6" i="1"/>
  <c r="G19" i="1" s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C21" i="2"/>
  <c r="B18" i="2"/>
  <c r="B21" i="2" s="1"/>
  <c r="B13" i="2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3" i="3"/>
  <c r="L15" i="1"/>
  <c r="B12" i="1"/>
  <c r="B13" i="1" s="1"/>
  <c r="B11" i="1"/>
  <c r="B10" i="1"/>
  <c r="B9" i="1"/>
  <c r="B8" i="1"/>
  <c r="B3" i="1"/>
  <c r="E14" i="3"/>
  <c r="I14" i="3"/>
  <c r="G14" i="3"/>
  <c r="G20" i="2"/>
  <c r="K20" i="2"/>
  <c r="C20" i="2"/>
  <c r="L12" i="1"/>
  <c r="L13" i="1" s="1"/>
  <c r="L14" i="1" s="1"/>
  <c r="L25" i="1" s="1"/>
  <c r="L10" i="1"/>
  <c r="M11" i="1" s="1"/>
  <c r="L6" i="1"/>
  <c r="L19" i="1" s="1"/>
  <c r="L24" i="1" s="1"/>
  <c r="L4" i="1"/>
  <c r="L23" i="1" s="1"/>
  <c r="A1" i="3"/>
  <c r="A1" i="2"/>
  <c r="A1" i="4" s="1"/>
  <c r="H23" i="1"/>
  <c r="J23" i="1"/>
  <c r="L5" i="1"/>
  <c r="H17" i="13" l="1"/>
  <c r="G17" i="13"/>
  <c r="H16" i="13"/>
  <c r="J10" i="13"/>
  <c r="J16" i="13" s="1"/>
  <c r="K30" i="13" s="1"/>
  <c r="K33" i="13" s="1"/>
  <c r="K24" i="13" s="1"/>
  <c r="K25" i="13" s="1"/>
  <c r="K38" i="13" s="1"/>
  <c r="L39" i="13" s="1"/>
  <c r="D31" i="13"/>
  <c r="D35" i="13" s="1"/>
  <c r="D33" i="13"/>
  <c r="L38" i="13"/>
  <c r="M14" i="11"/>
  <c r="N29" i="11"/>
  <c r="N50" i="11"/>
  <c r="N28" i="11"/>
  <c r="N44" i="11"/>
  <c r="N20" i="11"/>
  <c r="N12" i="11"/>
  <c r="N49" i="11"/>
  <c r="M28" i="11"/>
  <c r="M12" i="11"/>
  <c r="N48" i="11"/>
  <c r="N27" i="11"/>
  <c r="M48" i="11"/>
  <c r="M50" i="11"/>
  <c r="K23" i="11"/>
  <c r="J36" i="11"/>
  <c r="E23" i="11"/>
  <c r="H23" i="11"/>
  <c r="G23" i="11"/>
  <c r="M4" i="11"/>
  <c r="M7" i="11"/>
  <c r="N7" i="11"/>
  <c r="N5" i="11"/>
  <c r="N6" i="11"/>
  <c r="N4" i="11"/>
  <c r="B33" i="11"/>
  <c r="M33" i="11" s="1"/>
  <c r="N8" i="11"/>
  <c r="I36" i="11"/>
  <c r="M8" i="11"/>
  <c r="F23" i="11"/>
  <c r="M6" i="11"/>
  <c r="D23" i="11"/>
  <c r="N23" i="11" s="1"/>
  <c r="F36" i="11"/>
  <c r="M5" i="11"/>
  <c r="M10" i="11"/>
  <c r="H36" i="11"/>
  <c r="B35" i="11"/>
  <c r="M35" i="11" s="1"/>
  <c r="J23" i="11"/>
  <c r="B23" i="11"/>
  <c r="I23" i="11"/>
  <c r="G36" i="11"/>
  <c r="E36" i="11"/>
  <c r="D36" i="11"/>
  <c r="C36" i="11"/>
  <c r="K36" i="11"/>
  <c r="M63" i="8"/>
  <c r="L63" i="8"/>
  <c r="J63" i="8"/>
  <c r="I63" i="8"/>
  <c r="H63" i="8"/>
  <c r="K63" i="8"/>
  <c r="D11" i="8"/>
  <c r="K21" i="8"/>
  <c r="G26" i="8"/>
  <c r="G12" i="8"/>
  <c r="H21" i="8"/>
  <c r="H24" i="8"/>
  <c r="E6" i="8"/>
  <c r="J6" i="8"/>
  <c r="J21" i="8"/>
  <c r="J24" i="8"/>
  <c r="C24" i="8"/>
  <c r="I15" i="8"/>
  <c r="H6" i="8"/>
  <c r="J11" i="8"/>
  <c r="L15" i="8"/>
  <c r="J15" i="8"/>
  <c r="I21" i="8"/>
  <c r="I24" i="8"/>
  <c r="M11" i="8"/>
  <c r="H9" i="8"/>
  <c r="H15" i="8"/>
  <c r="G21" i="8"/>
  <c r="G24" i="8"/>
  <c r="G9" i="8"/>
  <c r="G15" i="8"/>
  <c r="C11" i="8"/>
  <c r="L9" i="8"/>
  <c r="L24" i="8"/>
  <c r="F9" i="8"/>
  <c r="L21" i="8"/>
  <c r="K15" i="8"/>
  <c r="K24" i="8"/>
  <c r="D6" i="8"/>
  <c r="D9" i="8"/>
  <c r="M6" i="8"/>
  <c r="E9" i="8"/>
  <c r="I11" i="8"/>
  <c r="F15" i="8"/>
  <c r="F21" i="8"/>
  <c r="F24" i="8"/>
  <c r="K11" i="8"/>
  <c r="H11" i="8"/>
  <c r="E15" i="8"/>
  <c r="E21" i="8"/>
  <c r="E24" i="8"/>
  <c r="J9" i="8"/>
  <c r="D15" i="8"/>
  <c r="D21" i="8"/>
  <c r="D24" i="8"/>
  <c r="C9" i="8"/>
  <c r="G6" i="8"/>
  <c r="F11" i="8"/>
  <c r="C15" i="8"/>
  <c r="M21" i="8"/>
  <c r="K9" i="8"/>
  <c r="M24" i="8"/>
  <c r="C21" i="8"/>
  <c r="L6" i="8"/>
  <c r="E11" i="8"/>
  <c r="L11" i="8"/>
  <c r="D21" i="2"/>
  <c r="E24" i="2"/>
  <c r="K24" i="2"/>
  <c r="B14" i="3"/>
  <c r="D6" i="1"/>
  <c r="D19" i="1" s="1"/>
  <c r="E6" i="1"/>
  <c r="E19" i="1" s="1"/>
  <c r="E1" i="2"/>
  <c r="I14" i="1"/>
  <c r="C24" i="2"/>
  <c r="K13" i="1"/>
  <c r="K14" i="1" s="1"/>
  <c r="B23" i="2"/>
  <c r="H14" i="1"/>
  <c r="J16" i="2"/>
  <c r="D13" i="1"/>
  <c r="E13" i="1" s="1"/>
  <c r="N11" i="1"/>
  <c r="L8" i="1"/>
  <c r="N8" i="1" s="1"/>
  <c r="J24" i="2"/>
  <c r="B20" i="2"/>
  <c r="I24" i="2"/>
  <c r="H24" i="2"/>
  <c r="I23" i="1"/>
  <c r="N23" i="1" s="1"/>
  <c r="N4" i="1" s="1"/>
  <c r="B16" i="2"/>
  <c r="G24" i="2"/>
  <c r="C23" i="2"/>
  <c r="E14" i="1"/>
  <c r="B14" i="1"/>
  <c r="D14" i="1"/>
  <c r="I6" i="1"/>
  <c r="I19" i="1" s="1"/>
  <c r="K24" i="1" s="1"/>
  <c r="M24" i="1" s="1"/>
  <c r="F24" i="2"/>
  <c r="M9" i="1"/>
  <c r="N9" i="1"/>
  <c r="I20" i="2"/>
  <c r="H20" i="2"/>
  <c r="K23" i="1"/>
  <c r="M23" i="1" s="1"/>
  <c r="M4" i="1" s="1"/>
  <c r="H6" i="1"/>
  <c r="H19" i="1" s="1"/>
  <c r="J24" i="1" s="1"/>
  <c r="F6" i="1"/>
  <c r="F19" i="1" s="1"/>
  <c r="I24" i="1" s="1"/>
  <c r="E1" i="4"/>
  <c r="J17" i="13" l="1"/>
  <c r="N36" i="11"/>
  <c r="M23" i="11"/>
  <c r="B36" i="11"/>
  <c r="M36" i="11" s="1"/>
  <c r="C17" i="8"/>
  <c r="C12" i="8"/>
  <c r="L17" i="8"/>
  <c r="L12" i="8"/>
  <c r="E17" i="8"/>
  <c r="E12" i="8"/>
  <c r="J17" i="8"/>
  <c r="J12" i="8"/>
  <c r="G27" i="8"/>
  <c r="G32" i="8"/>
  <c r="I17" i="8"/>
  <c r="I12" i="8"/>
  <c r="D17" i="8"/>
  <c r="D12" i="8"/>
  <c r="M17" i="8"/>
  <c r="M12" i="8"/>
  <c r="H17" i="8"/>
  <c r="H12" i="8"/>
  <c r="K17" i="8"/>
  <c r="K12" i="8"/>
  <c r="G30" i="8"/>
  <c r="F17" i="8"/>
  <c r="F12" i="8"/>
  <c r="H25" i="1"/>
  <c r="I25" i="1"/>
  <c r="J25" i="1"/>
  <c r="H24" i="1"/>
  <c r="N24" i="1" s="1"/>
  <c r="N6" i="1" s="1"/>
  <c r="K25" i="1"/>
  <c r="M25" i="1" s="1"/>
  <c r="M14" i="1" s="1"/>
  <c r="M15" i="1" s="1"/>
  <c r="M8" i="1"/>
  <c r="M6" i="1"/>
  <c r="M10" i="1" s="1"/>
  <c r="M12" i="1" s="1"/>
  <c r="M13" i="1" s="1"/>
  <c r="I18" i="8" l="1"/>
  <c r="I26" i="8"/>
  <c r="F18" i="8"/>
  <c r="F26" i="8"/>
  <c r="J18" i="8"/>
  <c r="J26" i="8"/>
  <c r="H18" i="8"/>
  <c r="H26" i="8"/>
  <c r="G37" i="8"/>
  <c r="G33" i="8"/>
  <c r="K18" i="8"/>
  <c r="K26" i="8"/>
  <c r="E18" i="8"/>
  <c r="E26" i="8"/>
  <c r="M18" i="8"/>
  <c r="M26" i="8"/>
  <c r="L18" i="8"/>
  <c r="L26" i="8"/>
  <c r="D18" i="8"/>
  <c r="D26" i="8"/>
  <c r="C18" i="8"/>
  <c r="C26" i="8"/>
  <c r="N10" i="1"/>
  <c r="N12" i="1" s="1"/>
  <c r="N13" i="1" s="1"/>
  <c r="N5" i="1"/>
  <c r="N25" i="1"/>
  <c r="N14" i="1" s="1"/>
  <c r="N15" i="1" s="1"/>
  <c r="M5" i="1"/>
  <c r="J27" i="8" l="1"/>
  <c r="J32" i="8"/>
  <c r="J30" i="8"/>
  <c r="C27" i="8"/>
  <c r="C30" i="8"/>
  <c r="H27" i="8"/>
  <c r="H32" i="8"/>
  <c r="H30" i="8"/>
  <c r="L32" i="8"/>
  <c r="L27" i="8"/>
  <c r="L30" i="8"/>
  <c r="F27" i="8"/>
  <c r="F32" i="8"/>
  <c r="F30" i="8"/>
  <c r="K32" i="8"/>
  <c r="K27" i="8"/>
  <c r="K30" i="8"/>
  <c r="M32" i="8"/>
  <c r="M27" i="8"/>
  <c r="M30" i="8"/>
  <c r="E27" i="8"/>
  <c r="E32" i="8"/>
  <c r="E30" i="8"/>
  <c r="I27" i="8"/>
  <c r="I32" i="8"/>
  <c r="I30" i="8"/>
  <c r="D27" i="8"/>
  <c r="D32" i="8"/>
  <c r="D30" i="8"/>
  <c r="E33" i="8" l="1"/>
  <c r="E37" i="8"/>
  <c r="L33" i="8"/>
  <c r="L37" i="8"/>
  <c r="D33" i="8"/>
  <c r="D37" i="8"/>
  <c r="K33" i="8"/>
  <c r="K37" i="8"/>
  <c r="F37" i="8"/>
  <c r="F33" i="8"/>
  <c r="H37" i="8"/>
  <c r="H33" i="8"/>
  <c r="M33" i="8"/>
  <c r="M37" i="8"/>
  <c r="C33" i="8"/>
  <c r="C37" i="8"/>
  <c r="I33" i="8"/>
  <c r="I37" i="8"/>
  <c r="J33" i="8"/>
  <c r="J37" i="8"/>
  <c r="D38" i="8" l="1"/>
  <c r="C41" i="8"/>
  <c r="C43" i="8" s="1"/>
</calcChain>
</file>

<file path=xl/sharedStrings.xml><?xml version="1.0" encoding="utf-8"?>
<sst xmlns="http://schemas.openxmlformats.org/spreadsheetml/2006/main" count="389" uniqueCount="284">
  <si>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</si>
  <si>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</si>
  <si>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</si>
  <si>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</si>
  <si>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</si>
  <si>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</si>
  <si>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</si>
  <si>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</si>
  <si>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</si>
  <si>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</si>
  <si>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</si>
  <si>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</si>
  <si>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</si>
  <si>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</si>
  <si>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</si>
  <si>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</si>
  <si>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</si>
  <si>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</si>
  <si>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</si>
  <si>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</si>
  <si>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</si>
  <si>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</si>
  <si>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</si>
  <si>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</si>
  <si>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</si>
  <si>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</si>
  <si>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</si>
  <si>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</si>
  <si>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</si>
  <si>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</si>
  <si>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</si>
  <si>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</si>
  <si>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</si>
  <si>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</si>
  <si>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</si>
  <si>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</si>
  <si>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</si>
  <si>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</si>
  <si>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</si>
  <si>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</si>
  <si>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</si>
  <si>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</si>
  <si>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</si>
  <si>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</si>
  <si>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</si>
  <si>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</si>
  <si>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</si>
  <si>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</si>
  <si>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</si>
  <si>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</si>
  <si>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</si>
  <si>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</si>
  <si>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</si>
  <si>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</si>
  <si>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</si>
  <si>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</si>
  <si>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</si>
  <si>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</si>
  <si>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</si>
  <si>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</si>
  <si>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</si>
  <si>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</si>
  <si>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</si>
  <si>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ESCORTS KUBOTA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</si>
  <si>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</si>
  <si>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</si>
  <si>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</si>
  <si>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</si>
  <si>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</si>
  <si>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</si>
  <si>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</si>
  <si>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</si>
  <si>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</si>
  <si>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</si>
  <si>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</si>
  <si>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</si>
  <si>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</si>
  <si>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</si>
  <si>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</si>
  <si>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</si>
  <si>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</si>
  <si>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</si>
  <si>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</si>
  <si>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</si>
  <si>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</si>
  <si>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</si>
  <si>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</si>
  <si>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</si>
  <si>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</si>
  <si>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</si>
  <si>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</si>
  <si>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</si>
  <si>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</si>
  <si>
    <t>YEARS</t>
  </si>
  <si>
    <t>LTM</t>
  </si>
  <si>
    <t>#</t>
  </si>
  <si>
    <t>INCOME STATEMENT</t>
  </si>
  <si>
    <t>-</t>
  </si>
  <si>
    <t>COGS</t>
  </si>
  <si>
    <t>COGS % of sales</t>
  </si>
  <si>
    <t>Sales growth</t>
  </si>
  <si>
    <t xml:space="preserve">GROSS PROFIT </t>
  </si>
  <si>
    <t>SELLING AND GENERAL EXPENSES</t>
  </si>
  <si>
    <t>S&amp;G EX % of sales</t>
  </si>
  <si>
    <t>EBITDA</t>
  </si>
  <si>
    <t>INTEREST</t>
  </si>
  <si>
    <t>EBITDA margins</t>
  </si>
  <si>
    <t>interest % of sales</t>
  </si>
  <si>
    <t xml:space="preserve">DEPRICIATION </t>
  </si>
  <si>
    <t>Depriciation % of sales</t>
  </si>
  <si>
    <t>Gross margin</t>
  </si>
  <si>
    <t xml:space="preserve">EARNINGS BEFORE TAXES </t>
  </si>
  <si>
    <t>EBT % of sales</t>
  </si>
  <si>
    <t>TAX</t>
  </si>
  <si>
    <t>Effective tax rate</t>
  </si>
  <si>
    <t>NET PROFIT</t>
  </si>
  <si>
    <t>Net margin</t>
  </si>
  <si>
    <t>NO OF EQUITY SHARES</t>
  </si>
  <si>
    <t>DIVIDEND PER SHARE</t>
  </si>
  <si>
    <t>EPS % of growth</t>
  </si>
  <si>
    <t>Divident payout ratio</t>
  </si>
  <si>
    <t xml:space="preserve">RETAINED EARNINGS </t>
  </si>
  <si>
    <t xml:space="preserve">BALANCE SHEET </t>
  </si>
  <si>
    <t xml:space="preserve">Equity share capital </t>
  </si>
  <si>
    <t xml:space="preserve">Reserves </t>
  </si>
  <si>
    <t xml:space="preserve">Borrowings </t>
  </si>
  <si>
    <t>Total Liabilities</t>
  </si>
  <si>
    <t xml:space="preserve">Fixed Assets net block </t>
  </si>
  <si>
    <t>Capital work in progress</t>
  </si>
  <si>
    <t xml:space="preserve">Investments </t>
  </si>
  <si>
    <t xml:space="preserve">Other Assets </t>
  </si>
  <si>
    <t xml:space="preserve">Total non Current assets </t>
  </si>
  <si>
    <t xml:space="preserve">Inventory </t>
  </si>
  <si>
    <t>Total Assets</t>
  </si>
  <si>
    <t>Cash and Bank</t>
  </si>
  <si>
    <t xml:space="preserve">Total Current Assets </t>
  </si>
  <si>
    <t>CHECK</t>
  </si>
  <si>
    <t>#CASH FLOW STATEMENT</t>
  </si>
  <si>
    <t>CASH FLOW STATEMENT</t>
  </si>
  <si>
    <t>Cash from Operating Activity -</t>
  </si>
  <si>
    <t>Profit from operations</t>
  </si>
  <si>
    <t>Payables</t>
  </si>
  <si>
    <t>Other WC items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</si>
  <si>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</si>
  <si>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</si>
  <si>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</si>
  <si>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</si>
  <si>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</si>
  <si>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</si>
  <si>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</si>
  <si>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</si>
  <si>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</si>
  <si>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</si>
  <si>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</si>
  <si>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</si>
  <si>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</si>
  <si>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</si>
  <si>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</si>
  <si>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</si>
  <si>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</si>
  <si>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</si>
  <si>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</si>
  <si>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</si>
  <si>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Other opearting items</t>
  </si>
  <si>
    <t>operating activities</t>
  </si>
  <si>
    <t>CASH FROM OPERATING ACTIVITES</t>
  </si>
  <si>
    <t>Investing activities</t>
  </si>
  <si>
    <t>Fixed asset purchased</t>
  </si>
  <si>
    <t>Fixed asset sold</t>
  </si>
  <si>
    <t xml:space="preserve">Investments purchased </t>
  </si>
  <si>
    <t xml:space="preserve">Investments solds </t>
  </si>
  <si>
    <t>CASH FLOW FROM INVESTING ACTIVITES</t>
  </si>
  <si>
    <t>Financing activities</t>
  </si>
  <si>
    <t>Cash from financing activites</t>
  </si>
  <si>
    <t xml:space="preserve">NET CASH FLOW </t>
  </si>
  <si>
    <t xml:space="preserve">Gross Margin </t>
  </si>
  <si>
    <t xml:space="preserve">Sales Growth </t>
  </si>
  <si>
    <t>EBITDA Growth</t>
  </si>
  <si>
    <t>EBIT  Growth</t>
  </si>
  <si>
    <t xml:space="preserve">Net profit Growth </t>
  </si>
  <si>
    <t>Dividend Growth</t>
  </si>
  <si>
    <t xml:space="preserve">EBITDA Margin </t>
  </si>
  <si>
    <t xml:space="preserve">EBIT Margin </t>
  </si>
  <si>
    <t xml:space="preserve">EBT Margin </t>
  </si>
  <si>
    <t xml:space="preserve">Net profit margin </t>
  </si>
  <si>
    <t xml:space="preserve">Sales expenses % Sales </t>
  </si>
  <si>
    <t xml:space="preserve">Deprication% Sales </t>
  </si>
  <si>
    <t>Opearting income sales%</t>
  </si>
  <si>
    <t xml:space="preserve">Return on capital employed </t>
  </si>
  <si>
    <t>Retained earnings %</t>
  </si>
  <si>
    <t>Return on equity %</t>
  </si>
  <si>
    <t xml:space="preserve">Self sustained growth rate </t>
  </si>
  <si>
    <t xml:space="preserve">Interest coverage ratio </t>
  </si>
  <si>
    <t>Debtor Turnover ratio</t>
  </si>
  <si>
    <t xml:space="preserve">Credot turnover ratio </t>
  </si>
  <si>
    <t xml:space="preserve">Inventory turnover </t>
  </si>
  <si>
    <t xml:space="preserve">Fixed asset turnover </t>
  </si>
  <si>
    <t xml:space="preserve">Capital turnover </t>
  </si>
  <si>
    <t xml:space="preserve">Debtor days </t>
  </si>
  <si>
    <t xml:space="preserve">Payable days </t>
  </si>
  <si>
    <t>Inventory days</t>
  </si>
  <si>
    <t xml:space="preserve">Cash conversion cycle </t>
  </si>
  <si>
    <t xml:space="preserve"> </t>
  </si>
  <si>
    <t>CFO/Sales</t>
  </si>
  <si>
    <t>CFO/Total assets</t>
  </si>
  <si>
    <t>CFO/Total debt</t>
  </si>
  <si>
    <t>MEAN</t>
  </si>
  <si>
    <t>MEDIAN</t>
  </si>
  <si>
    <t>TREND LINE</t>
  </si>
  <si>
    <t>RETURN ON ASSETS</t>
  </si>
  <si>
    <t xml:space="preserve">PAT vs TOTAL ASSETS </t>
  </si>
  <si>
    <t xml:space="preserve">EBIT vs TOTAL ASSETS </t>
  </si>
  <si>
    <t>PAT AFTER TAX BENEFIT vs TOTAL ASSET</t>
  </si>
  <si>
    <t xml:space="preserve">RETURN ON EQUITY </t>
  </si>
  <si>
    <t xml:space="preserve">Cash flow earning per share </t>
  </si>
  <si>
    <t xml:space="preserve">Dividend per share </t>
  </si>
  <si>
    <t>Dividend payout ratio</t>
  </si>
  <si>
    <t xml:space="preserve">Dividend Yield ratio </t>
  </si>
  <si>
    <t>TURNOVER RATIO</t>
  </si>
  <si>
    <t>YEAR</t>
  </si>
  <si>
    <t>YEAR  WEIGHT</t>
  </si>
  <si>
    <t>SALES</t>
  </si>
  <si>
    <t>SALES GROWTH</t>
  </si>
  <si>
    <t>2016A</t>
  </si>
  <si>
    <t>2017A</t>
  </si>
  <si>
    <t>2018A</t>
  </si>
  <si>
    <t>2019A</t>
  </si>
  <si>
    <t>2020A</t>
  </si>
  <si>
    <t>2021A</t>
  </si>
  <si>
    <t>2022A</t>
  </si>
  <si>
    <t>2023A</t>
  </si>
  <si>
    <t>2024A</t>
  </si>
  <si>
    <t>2025A</t>
  </si>
  <si>
    <t>2026E</t>
  </si>
  <si>
    <t>2027E</t>
  </si>
  <si>
    <t>2028E</t>
  </si>
  <si>
    <t>2029E</t>
  </si>
  <si>
    <t>2030E</t>
  </si>
  <si>
    <t xml:space="preserve">Weighted average cost of capital </t>
  </si>
  <si>
    <t>All figures are in IRR unless otherwise stated</t>
  </si>
  <si>
    <t>Peer comps</t>
  </si>
  <si>
    <t>Total Debt</t>
  </si>
  <si>
    <t>Total Equity</t>
  </si>
  <si>
    <r>
      <t xml:space="preserve">Tax Rate </t>
    </r>
    <r>
      <rPr>
        <vertAlign val="superscript"/>
        <sz val="10"/>
        <color theme="1"/>
        <rFont val="Calibri"/>
        <family val="2"/>
        <scheme val="minor"/>
      </rPr>
      <t>1</t>
    </r>
  </si>
  <si>
    <t>Debt/</t>
  </si>
  <si>
    <t>Equity</t>
  </si>
  <si>
    <t>Capital</t>
  </si>
  <si>
    <t xml:space="preserve">Levered </t>
  </si>
  <si>
    <t xml:space="preserve">Unlevered </t>
  </si>
  <si>
    <r>
      <t xml:space="preserve">Beta </t>
    </r>
    <r>
      <rPr>
        <vertAlign val="superscript"/>
        <sz val="10"/>
        <color theme="1"/>
        <rFont val="Calibri"/>
        <family val="2"/>
        <scheme val="minor"/>
      </rPr>
      <t>2</t>
    </r>
  </si>
  <si>
    <r>
      <t xml:space="preserve">Beta </t>
    </r>
    <r>
      <rPr>
        <vertAlign val="superscript"/>
        <sz val="10"/>
        <color theme="1"/>
        <rFont val="Calibri"/>
        <family val="2"/>
        <scheme val="minor"/>
      </rPr>
      <t>3</t>
    </r>
  </si>
  <si>
    <t xml:space="preserve">Hindi Unliver </t>
  </si>
  <si>
    <t>Nestle India</t>
  </si>
  <si>
    <t>Britania Inds</t>
  </si>
  <si>
    <t>Godrej Consumer</t>
  </si>
  <si>
    <t>Dabur India</t>
  </si>
  <si>
    <t>Name of the</t>
  </si>
  <si>
    <t>Country</t>
  </si>
  <si>
    <t>India</t>
  </si>
  <si>
    <t>Average</t>
  </si>
  <si>
    <t>Median</t>
  </si>
  <si>
    <t xml:space="preserve">Cost of Debt </t>
  </si>
  <si>
    <t>Pre cost tax of debt</t>
  </si>
  <si>
    <t xml:space="preserve">Tax rate </t>
  </si>
  <si>
    <t>Post tax cost of debt</t>
  </si>
  <si>
    <t>Cost of Equity</t>
  </si>
  <si>
    <t xml:space="preserve">Risk free rate </t>
  </si>
  <si>
    <t>Equity risk premium</t>
  </si>
  <si>
    <r>
      <t>Levered Beta</t>
    </r>
    <r>
      <rPr>
        <vertAlign val="superscript"/>
        <sz val="10"/>
        <color theme="1"/>
        <rFont val="Calibri"/>
        <family val="2"/>
        <scheme val="minor"/>
      </rPr>
      <t xml:space="preserve"> 4</t>
    </r>
  </si>
  <si>
    <t xml:space="preserve">Cost of Equity </t>
  </si>
  <si>
    <t>Capital structure</t>
  </si>
  <si>
    <t>Current</t>
  </si>
  <si>
    <t>Target</t>
  </si>
  <si>
    <t>Total Capital</t>
  </si>
  <si>
    <t>Levered Beta</t>
  </si>
  <si>
    <t>Comps Median Unlevered Beta</t>
  </si>
  <si>
    <t>Target Debt/Equity</t>
  </si>
  <si>
    <t>Tax Rate</t>
  </si>
  <si>
    <t>Debt/ Equity</t>
  </si>
  <si>
    <t>Weighted Average Cost of Capital</t>
  </si>
  <si>
    <t>Debt</t>
  </si>
  <si>
    <t xml:space="preserve">Total cost </t>
  </si>
  <si>
    <t xml:space="preserve">Total Weight </t>
  </si>
  <si>
    <t>REGRESSION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</si>
</sst>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[$-14009]dd/mm/yyyy;@"/>
    <numFmt numFmtId="167" formatCode="&quot;₹&quot;\ #,##0.00"/>
    <numFmt numFmtId="168" formatCode="0.00&quot;x&quot;"/>
    <numFmt numFmtId="169" formatCode="0&quot;days&quot;"/>
    <numFmt numFmtId="170" formatCode="0&quot;x&quot;"/>
    <numFmt numFmtId="171" formatCode="#,##0.0"/>
    <numFmt numFmtId="172" formatCode="0.0"/>
    <numFmt numFmtId="173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3" tint="0.3999755851924192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rgb="FF002060"/>
      </top>
      <bottom/>
      <diagonal/>
    </border>
    <border>
      <left/>
      <right/>
      <top/>
      <bottom style="hair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20">
    <xf numFmtId="0" fontId="0" fillId="0" borderId="0" xfId="0"/>
    <xf numFmtId="43" fontId="1" fillId="0" borderId="0" xfId="1" applyFont="1" applyBorder="1"/>
    <xf numFmtId="0" fontId="1" fillId="0" borderId="0" xfId="0" applyFont="1"/>
    <xf numFmtId="0" fontId="8" fillId="0" borderId="0" xfId="0" applyFont="1"/>
    <xf numFmtId="43" fontId="0" fillId="0" borderId="0" xfId="1" applyFont="1" applyBorder="1"/>
    <xf numFmtId="10" fontId="0" fillId="0" borderId="0" xfId="0" applyNumberFormat="1"/>
    <xf numFmtId="43" fontId="3" fillId="0" borderId="0" xfId="1" applyFont="1" applyBorder="1"/>
    <xf numFmtId="9" fontId="3" fillId="0" borderId="0" xfId="1" applyNumberFormat="1" applyFont="1" applyBorder="1"/>
    <xf numFmtId="43" fontId="2" fillId="2" borderId="0" xfId="3" applyNumberFormat="1" applyFont="1" applyBorder="1"/>
    <xf numFmtId="43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/>
    <xf numFmtId="165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43" fontId="0" fillId="0" borderId="0" xfId="1" applyFont="1" applyBorder="1" applyAlignment="1">
      <alignment horizontal="center"/>
    </xf>
    <xf numFmtId="43" fontId="1" fillId="0" borderId="0" xfId="1" applyFont="1" applyBorder="1" applyAlignment="1">
      <alignment horizontal="center"/>
    </xf>
    <xf numFmtId="10" fontId="1" fillId="0" borderId="0" xfId="0" applyNumberFormat="1" applyFont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9" fillId="0" borderId="0" xfId="0" applyFont="1"/>
    <xf numFmtId="164" fontId="0" fillId="0" borderId="0" xfId="1" applyNumberFormat="1" applyFont="1" applyBorder="1"/>
    <xf numFmtId="0" fontId="0" fillId="6" borderId="0" xfId="0" applyFill="1"/>
    <xf numFmtId="17" fontId="3" fillId="0" borderId="0" xfId="1" applyNumberFormat="1" applyFont="1" applyBorder="1"/>
    <xf numFmtId="0" fontId="2" fillId="7" borderId="0" xfId="0" applyFont="1" applyFill="1"/>
    <xf numFmtId="17" fontId="2" fillId="7" borderId="0" xfId="0" applyNumberFormat="1" applyFont="1" applyFill="1"/>
    <xf numFmtId="0" fontId="2" fillId="7" borderId="0" xfId="0" applyFont="1" applyFill="1" applyAlignment="1">
      <alignment horizontal="center"/>
    </xf>
    <xf numFmtId="0" fontId="1" fillId="6" borderId="0" xfId="0" applyFont="1" applyFill="1"/>
    <xf numFmtId="0" fontId="10" fillId="6" borderId="0" xfId="0" applyFont="1" applyFill="1"/>
    <xf numFmtId="0" fontId="0" fillId="6" borderId="0" xfId="0" applyFill="1" applyAlignment="1">
      <alignment horizontal="right"/>
    </xf>
    <xf numFmtId="0" fontId="10" fillId="6" borderId="0" xfId="0" applyFont="1" applyFill="1" applyAlignment="1">
      <alignment horizontal="right"/>
    </xf>
    <xf numFmtId="10" fontId="10" fillId="6" borderId="0" xfId="6" applyNumberFormat="1" applyFont="1" applyFill="1"/>
    <xf numFmtId="167" fontId="1" fillId="6" borderId="0" xfId="0" applyNumberFormat="1" applyFont="1" applyFill="1"/>
    <xf numFmtId="167" fontId="1" fillId="6" borderId="0" xfId="0" applyNumberFormat="1" applyFont="1" applyFill="1" applyAlignment="1">
      <alignment horizontal="right"/>
    </xf>
    <xf numFmtId="10" fontId="10" fillId="6" borderId="0" xfId="0" applyNumberFormat="1" applyFont="1" applyFill="1"/>
    <xf numFmtId="0" fontId="11" fillId="6" borderId="0" xfId="0" applyFont="1" applyFill="1"/>
    <xf numFmtId="10" fontId="11" fillId="6" borderId="0" xfId="0" applyNumberFormat="1" applyFont="1" applyFill="1"/>
    <xf numFmtId="10" fontId="11" fillId="6" borderId="0" xfId="6" applyNumberFormat="1" applyFont="1" applyFill="1"/>
    <xf numFmtId="10" fontId="12" fillId="6" borderId="0" xfId="6" applyNumberFormat="1" applyFont="1" applyFill="1"/>
    <xf numFmtId="0" fontId="1" fillId="8" borderId="0" xfId="0" applyFont="1" applyFill="1"/>
    <xf numFmtId="166" fontId="0" fillId="8" borderId="0" xfId="0" applyNumberFormat="1" applyFill="1"/>
    <xf numFmtId="0" fontId="0" fillId="8" borderId="0" xfId="0" applyFill="1"/>
    <xf numFmtId="10" fontId="1" fillId="6" borderId="0" xfId="6" applyNumberFormat="1" applyFont="1" applyFill="1"/>
    <xf numFmtId="167" fontId="11" fillId="6" borderId="0" xfId="0" applyNumberFormat="1" applyFont="1" applyFill="1"/>
    <xf numFmtId="167" fontId="0" fillId="6" borderId="0" xfId="0" applyNumberFormat="1" applyFill="1"/>
    <xf numFmtId="2" fontId="0" fillId="6" borderId="0" xfId="0" applyNumberFormat="1" applyFill="1"/>
    <xf numFmtId="17" fontId="0" fillId="0" borderId="0" xfId="0" applyNumberFormat="1"/>
    <xf numFmtId="3" fontId="0" fillId="0" borderId="0" xfId="0" applyNumberFormat="1"/>
    <xf numFmtId="0" fontId="1" fillId="6" borderId="0" xfId="0" applyFont="1" applyFill="1" applyAlignment="1">
      <alignment vertical="top"/>
    </xf>
    <xf numFmtId="0" fontId="1" fillId="6" borderId="1" xfId="0" applyFont="1" applyFill="1" applyBorder="1"/>
    <xf numFmtId="167" fontId="1" fillId="6" borderId="1" xfId="0" applyNumberFormat="1" applyFont="1" applyFill="1" applyBorder="1"/>
    <xf numFmtId="0" fontId="2" fillId="9" borderId="0" xfId="0" applyFont="1" applyFill="1"/>
    <xf numFmtId="0" fontId="0" fillId="9" borderId="0" xfId="0" applyFill="1"/>
    <xf numFmtId="17" fontId="2" fillId="9" borderId="0" xfId="0" applyNumberFormat="1" applyFont="1" applyFill="1"/>
    <xf numFmtId="10" fontId="0" fillId="9" borderId="0" xfId="0" applyNumberFormat="1" applyFill="1"/>
    <xf numFmtId="0" fontId="0" fillId="9" borderId="2" xfId="0" applyFill="1" applyBorder="1"/>
    <xf numFmtId="10" fontId="0" fillId="9" borderId="2" xfId="0" applyNumberFormat="1" applyFill="1" applyBorder="1" applyAlignment="1">
      <alignment horizontal="center"/>
    </xf>
    <xf numFmtId="10" fontId="0" fillId="9" borderId="2" xfId="0" applyNumberFormat="1" applyFill="1" applyBorder="1"/>
    <xf numFmtId="0" fontId="0" fillId="9" borderId="3" xfId="0" applyFill="1" applyBorder="1"/>
    <xf numFmtId="10" fontId="0" fillId="9" borderId="3" xfId="0" applyNumberFormat="1" applyFill="1" applyBorder="1"/>
    <xf numFmtId="168" fontId="0" fillId="9" borderId="3" xfId="0" applyNumberFormat="1" applyFill="1" applyBorder="1"/>
    <xf numFmtId="0" fontId="0" fillId="9" borderId="4" xfId="0" applyFill="1" applyBorder="1"/>
    <xf numFmtId="168" fontId="0" fillId="9" borderId="4" xfId="0" applyNumberFormat="1" applyFill="1" applyBorder="1"/>
    <xf numFmtId="168" fontId="0" fillId="9" borderId="0" xfId="0" applyNumberFormat="1" applyFill="1"/>
    <xf numFmtId="0" fontId="0" fillId="9" borderId="5" xfId="0" applyFill="1" applyBorder="1"/>
    <xf numFmtId="168" fontId="0" fillId="9" borderId="5" xfId="0" applyNumberFormat="1" applyFill="1" applyBorder="1"/>
    <xf numFmtId="169" fontId="0" fillId="9" borderId="4" xfId="0" applyNumberFormat="1" applyFill="1" applyBorder="1"/>
    <xf numFmtId="169" fontId="0" fillId="9" borderId="0" xfId="0" applyNumberFormat="1" applyFill="1"/>
    <xf numFmtId="169" fontId="0" fillId="9" borderId="5" xfId="0" applyNumberFormat="1" applyFill="1" applyBorder="1"/>
    <xf numFmtId="10" fontId="0" fillId="9" borderId="4" xfId="0" applyNumberFormat="1" applyFill="1" applyBorder="1"/>
    <xf numFmtId="10" fontId="0" fillId="9" borderId="5" xfId="0" applyNumberFormat="1" applyFill="1" applyBorder="1"/>
    <xf numFmtId="170" fontId="0" fillId="9" borderId="5" xfId="0" applyNumberFormat="1" applyFill="1" applyBorder="1"/>
    <xf numFmtId="170" fontId="0" fillId="9" borderId="4" xfId="0" applyNumberFormat="1" applyFill="1" applyBorder="1"/>
    <xf numFmtId="170" fontId="0" fillId="9" borderId="0" xfId="0" applyNumberFormat="1" applyFill="1"/>
    <xf numFmtId="10" fontId="0" fillId="9" borderId="0" xfId="0" applyNumberFormat="1" applyFill="1" applyAlignment="1">
      <alignment horizontal="center"/>
    </xf>
    <xf numFmtId="10" fontId="0" fillId="9" borderId="3" xfId="0" applyNumberFormat="1" applyFill="1" applyBorder="1" applyAlignment="1">
      <alignment horizontal="center"/>
    </xf>
    <xf numFmtId="10" fontId="1" fillId="9" borderId="2" xfId="0" applyNumberFormat="1" applyFont="1" applyFill="1" applyBorder="1"/>
    <xf numFmtId="0" fontId="1" fillId="9" borderId="4" xfId="0" applyFont="1" applyFill="1" applyBorder="1"/>
    <xf numFmtId="0" fontId="1" fillId="6" borderId="1" xfId="0" applyFont="1" applyFill="1" applyBorder="1" applyAlignment="1">
      <alignment vertical="top"/>
    </xf>
    <xf numFmtId="17" fontId="2" fillId="7" borderId="0" xfId="0" applyNumberFormat="1" applyFont="1" applyFill="1" applyAlignment="1">
      <alignment horizontal="center"/>
    </xf>
    <xf numFmtId="0" fontId="1" fillId="9" borderId="1" xfId="0" applyFont="1" applyFill="1" applyBorder="1"/>
    <xf numFmtId="0" fontId="0" fillId="6" borderId="0" xfId="0" applyFill="1" applyAlignment="1">
      <alignment horizontal="center"/>
    </xf>
    <xf numFmtId="10" fontId="0" fillId="9" borderId="1" xfId="0" applyNumberFormat="1" applyFill="1" applyBorder="1"/>
    <xf numFmtId="0" fontId="0" fillId="9" borderId="0" xfId="0" applyFill="1" applyAlignment="1">
      <alignment horizontal="center"/>
    </xf>
    <xf numFmtId="171" fontId="0" fillId="9" borderId="0" xfId="0" applyNumberFormat="1" applyFill="1"/>
    <xf numFmtId="0" fontId="13" fillId="9" borderId="0" xfId="0" applyFont="1" applyFill="1" applyAlignment="1">
      <alignment horizontal="center"/>
    </xf>
    <xf numFmtId="0" fontId="13" fillId="9" borderId="0" xfId="0" applyFont="1" applyFill="1"/>
    <xf numFmtId="10" fontId="13" fillId="9" borderId="0" xfId="0" applyNumberFormat="1" applyFont="1" applyFill="1"/>
    <xf numFmtId="0" fontId="0" fillId="10" borderId="0" xfId="0" applyFill="1"/>
    <xf numFmtId="0" fontId="14" fillId="10" borderId="0" xfId="0" applyFont="1" applyFill="1"/>
    <xf numFmtId="0" fontId="15" fillId="0" borderId="0" xfId="0" applyFont="1"/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/>
    <xf numFmtId="10" fontId="0" fillId="11" borderId="0" xfId="0" applyNumberFormat="1" applyFill="1"/>
    <xf numFmtId="2" fontId="0" fillId="11" borderId="0" xfId="0" applyNumberFormat="1" applyFill="1"/>
    <xf numFmtId="10" fontId="0" fillId="0" borderId="6" xfId="0" applyNumberFormat="1" applyBorder="1"/>
    <xf numFmtId="10" fontId="0" fillId="0" borderId="7" xfId="0" applyNumberFormat="1" applyBorder="1"/>
    <xf numFmtId="2" fontId="0" fillId="0" borderId="6" xfId="0" applyNumberFormat="1" applyBorder="1"/>
    <xf numFmtId="2" fontId="0" fillId="0" borderId="7" xfId="0" applyNumberFormat="1" applyBorder="1"/>
    <xf numFmtId="9" fontId="0" fillId="0" borderId="7" xfId="0" applyNumberFormat="1" applyBorder="1"/>
    <xf numFmtId="0" fontId="1" fillId="0" borderId="7" xfId="0" applyFont="1" applyBorder="1"/>
    <xf numFmtId="10" fontId="17" fillId="0" borderId="0" xfId="0" applyNumberFormat="1" applyFont="1"/>
    <xf numFmtId="9" fontId="17" fillId="0" borderId="7" xfId="0" applyNumberFormat="1" applyFont="1" applyBorder="1"/>
    <xf numFmtId="0" fontId="0" fillId="0" borderId="0" xfId="0" applyAlignment="1">
      <alignment horizontal="center"/>
    </xf>
    <xf numFmtId="10" fontId="0" fillId="0" borderId="0" xfId="6" applyNumberFormat="1" applyFont="1"/>
    <xf numFmtId="173" fontId="0" fillId="0" borderId="0" xfId="0" applyNumberFormat="1"/>
    <xf numFmtId="2" fontId="0" fillId="0" borderId="0" xfId="0" applyNumberFormat="1"/>
    <xf numFmtId="172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7" xfId="0" applyFont="1" applyBorder="1" applyAlignment="1">
      <alignment horizontal="center"/>
    </xf>
    <xf numFmtId="173" fontId="1" fillId="11" borderId="0" xfId="0" applyNumberFormat="1" applyFont="1" applyFill="1"/>
    <xf numFmtId="0" fontId="1" fillId="0" borderId="8" xfId="0" applyFont="1" applyBorder="1"/>
    <xf numFmtId="43" fontId="4" fillId="0" borderId="0" xfId="2" applyNumberFormat="1" applyBorder="1" applyAlignment="1" applyProtection="1">
      <alignment horizontal="center"/>
    </xf>
    <xf numFmtId="43" fontId="2" fillId="4" borderId="0" xfId="5" applyNumberFormat="1" applyFont="1" applyBorder="1" applyAlignment="1">
      <alignment horizontal="center"/>
    </xf>
  </cellXfs>
  <cellStyles count="8">
    <cellStyle name="60% - Accent1" xfId="3" builtinId="32"/>
    <cellStyle name="60% - Accent3" xfId="4" builtinId="40"/>
    <cellStyle name="Accent6" xfId="5" builtinId="49"/>
    <cellStyle name="Comma" xfId="1" builtinId="3"/>
    <cellStyle name="Comma 2" xfId="7" xr:uid="{4A09A82E-13E0-4078-9BA1-9E0EC44A5075}"/>
    <cellStyle name="Hyperlink" xfId="2" builtinId="8"/>
    <cellStyle name="Normal" xfId="0" builtinId="0"/>
    <cellStyle name="Per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screener.in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218F0-2BE7-47E6-AD6C-822ED2908E87}">
  <sheetPr>
    <tabColor rgb="FF00B05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90" zoomScaleNormal="12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B17" sqref="B17"/>
    </sheetView>
  </sheetViews>
  <sheetFormatPr defaultColWidth="8.77734375" defaultRowHeight="14.4" x14ac:dyDescent="0.3"/>
  <cols>
    <col min="1" max="1" width="27.6640625" style="4" bestFit="1" customWidth="1"/>
    <col min="2" max="11" width="13.44140625" style="4" bestFit="1" customWidth="1"/>
    <col min="12" max="16384" width="8.77734375" style="4"/>
  </cols>
  <sheetData>
    <row r="1" spans="1:11" s="1" customFormat="1" x14ac:dyDescent="0.3">
      <c r="A1" s="1" t="s">
        <v>0</v>
      </c>
      <c r="B1" s="1" t="s">
        <v>63</v>
      </c>
      <c r="E1" s="118" t="str">
        <f>IF(B2&lt;&gt;B3, "A NEW VERSION OF THE WORKSHEET IS AVAILABLE", "")</f>
        <v/>
      </c>
      <c r="F1" s="118"/>
      <c r="G1" s="118"/>
      <c r="H1" s="118"/>
      <c r="I1" s="118"/>
      <c r="J1" s="118"/>
      <c r="K1" s="118"/>
    </row>
    <row r="2" spans="1:11" x14ac:dyDescent="0.3">
      <c r="A2" s="1" t="s">
        <v>61</v>
      </c>
      <c r="B2" s="4">
        <v>2.1</v>
      </c>
      <c r="E2" s="119" t="s">
        <v>36</v>
      </c>
      <c r="F2" s="119"/>
      <c r="G2" s="119"/>
      <c r="H2" s="119"/>
      <c r="I2" s="119"/>
      <c r="J2" s="119"/>
      <c r="K2" s="119"/>
    </row>
    <row r="3" spans="1:11" x14ac:dyDescent="0.3">
      <c r="A3" s="1" t="s">
        <v>62</v>
      </c>
      <c r="B3" s="4">
        <v>2.1</v>
      </c>
    </row>
    <row r="4" spans="1:11" x14ac:dyDescent="0.3">
      <c r="A4" s="1"/>
    </row>
    <row r="5" spans="1:11" x14ac:dyDescent="0.3">
      <c r="A5" s="1" t="s">
        <v>64</v>
      </c>
    </row>
    <row r="6" spans="1:11" x14ac:dyDescent="0.3">
      <c r="A6" s="4" t="s">
        <v>42</v>
      </c>
      <c r="B6" s="4">
        <f>IF(B9&gt;0, B9/B8, 0)</f>
        <v>11.18777979431337</v>
      </c>
    </row>
    <row r="7" spans="1:11" x14ac:dyDescent="0.3">
      <c r="A7" s="4" t="s">
        <v>31</v>
      </c>
      <c r="B7">
        <v>10</v>
      </c>
    </row>
    <row r="8" spans="1:11" x14ac:dyDescent="0.3">
      <c r="A8" s="4" t="s">
        <v>43</v>
      </c>
      <c r="B8">
        <v>3306</v>
      </c>
    </row>
    <row r="9" spans="1:11" x14ac:dyDescent="0.3">
      <c r="A9" s="4" t="s">
        <v>79</v>
      </c>
      <c r="B9">
        <v>36986.800000000003</v>
      </c>
    </row>
    <row r="15" spans="1:11" x14ac:dyDescent="0.3">
      <c r="A15" s="1" t="s">
        <v>37</v>
      </c>
    </row>
    <row r="16" spans="1:11" s="18" customFormat="1" x14ac:dyDescent="0.3">
      <c r="A16" s="17" t="s">
        <v>38</v>
      </c>
      <c r="B16" s="12">
        <v>42460</v>
      </c>
      <c r="C16" s="12">
        <v>42825</v>
      </c>
      <c r="D16" s="12">
        <v>43190</v>
      </c>
      <c r="E16" s="12">
        <v>43555</v>
      </c>
      <c r="F16" s="12">
        <v>43921</v>
      </c>
      <c r="G16" s="12">
        <v>44286</v>
      </c>
      <c r="H16" s="12">
        <v>44651</v>
      </c>
      <c r="I16" s="12">
        <v>45016</v>
      </c>
      <c r="J16" s="12">
        <v>45382</v>
      </c>
      <c r="K16" s="12">
        <v>45747</v>
      </c>
    </row>
    <row r="17" spans="1:11" s="6" customFormat="1" x14ac:dyDescent="0.3">
      <c r="A17" s="6" t="s">
        <v>6</v>
      </c>
      <c r="B17">
        <v>3431.99</v>
      </c>
      <c r="C17">
        <v>4145.33</v>
      </c>
      <c r="D17">
        <v>5059.34</v>
      </c>
      <c r="E17">
        <v>6262.02</v>
      </c>
      <c r="F17">
        <v>5810.09</v>
      </c>
      <c r="G17">
        <v>7014.42</v>
      </c>
      <c r="H17">
        <v>7282.65</v>
      </c>
      <c r="I17">
        <v>8428.69</v>
      </c>
      <c r="J17">
        <v>9803.59</v>
      </c>
      <c r="K17">
        <v>10243.879999999999</v>
      </c>
    </row>
    <row r="18" spans="1:11" s="6" customFormat="1" x14ac:dyDescent="0.3">
      <c r="A18" s="4" t="s">
        <v>80</v>
      </c>
      <c r="B18">
        <v>2409.31</v>
      </c>
      <c r="C18">
        <v>2877.78</v>
      </c>
      <c r="D18">
        <v>3426.78</v>
      </c>
      <c r="E18">
        <v>4481.47</v>
      </c>
      <c r="F18">
        <v>3846.68</v>
      </c>
      <c r="G18">
        <v>4514.72</v>
      </c>
      <c r="H18">
        <v>5045.45</v>
      </c>
      <c r="I18">
        <v>6286.53</v>
      </c>
      <c r="J18">
        <v>7147.97</v>
      </c>
      <c r="K18">
        <v>7066.61</v>
      </c>
    </row>
    <row r="19" spans="1:11" s="6" customFormat="1" x14ac:dyDescent="0.3">
      <c r="A19" s="4" t="s">
        <v>81</v>
      </c>
      <c r="B19">
        <v>24.88</v>
      </c>
      <c r="C19">
        <v>46.49</v>
      </c>
      <c r="D19">
        <v>19.36</v>
      </c>
      <c r="E19">
        <v>204.54</v>
      </c>
      <c r="F19">
        <v>5.58</v>
      </c>
      <c r="G19">
        <v>-129.91999999999999</v>
      </c>
      <c r="H19">
        <v>66.94</v>
      </c>
      <c r="I19">
        <v>163.65</v>
      </c>
      <c r="J19">
        <v>185.97</v>
      </c>
      <c r="K19">
        <v>-188.53</v>
      </c>
    </row>
    <row r="20" spans="1:11" s="6" customFormat="1" x14ac:dyDescent="0.3">
      <c r="A20" s="4" t="s">
        <v>82</v>
      </c>
      <c r="B20">
        <v>36.01</v>
      </c>
      <c r="C20">
        <v>38.840000000000003</v>
      </c>
      <c r="D20">
        <v>38.200000000000003</v>
      </c>
      <c r="E20">
        <v>45.44</v>
      </c>
      <c r="F20">
        <v>40.07</v>
      </c>
      <c r="G20">
        <v>38.369999999999997</v>
      </c>
      <c r="H20">
        <v>40.590000000000003</v>
      </c>
      <c r="I20">
        <v>45.84</v>
      </c>
      <c r="J20">
        <v>50.59</v>
      </c>
      <c r="K20">
        <v>46.37</v>
      </c>
    </row>
    <row r="21" spans="1:11" s="6" customFormat="1" x14ac:dyDescent="0.3">
      <c r="A21" s="4" t="s">
        <v>83</v>
      </c>
      <c r="B21">
        <v>98.37</v>
      </c>
      <c r="C21">
        <v>137.75</v>
      </c>
      <c r="D21">
        <v>167.41</v>
      </c>
      <c r="E21">
        <v>215.43</v>
      </c>
      <c r="F21">
        <v>205.6</v>
      </c>
      <c r="G21">
        <v>204.74</v>
      </c>
      <c r="H21">
        <v>232.41</v>
      </c>
      <c r="I21">
        <v>289.64999999999998</v>
      </c>
      <c r="J21">
        <v>348.14</v>
      </c>
      <c r="K21">
        <v>385.06</v>
      </c>
    </row>
    <row r="22" spans="1:11" s="6" customFormat="1" x14ac:dyDescent="0.3">
      <c r="A22" s="4" t="s">
        <v>84</v>
      </c>
      <c r="B22">
        <v>413.56</v>
      </c>
      <c r="C22">
        <v>422.1</v>
      </c>
      <c r="D22">
        <v>460.47</v>
      </c>
      <c r="E22">
        <v>492.76</v>
      </c>
      <c r="F22">
        <v>526.59</v>
      </c>
      <c r="G22">
        <v>555.41</v>
      </c>
      <c r="H22">
        <v>549.41</v>
      </c>
      <c r="I22">
        <v>613.83000000000004</v>
      </c>
      <c r="J22">
        <v>706.01</v>
      </c>
      <c r="K22">
        <v>781.22</v>
      </c>
    </row>
    <row r="23" spans="1:11" s="6" customFormat="1" x14ac:dyDescent="0.3">
      <c r="A23" s="4" t="s">
        <v>85</v>
      </c>
      <c r="B23">
        <v>305</v>
      </c>
      <c r="C23">
        <v>344.98</v>
      </c>
      <c r="D23">
        <v>362</v>
      </c>
      <c r="E23">
        <v>431.46</v>
      </c>
      <c r="F23">
        <v>423.61</v>
      </c>
      <c r="G23">
        <v>370.27</v>
      </c>
      <c r="H23">
        <v>394.61</v>
      </c>
      <c r="I23">
        <v>491.31</v>
      </c>
      <c r="J23">
        <v>472.55</v>
      </c>
      <c r="K23">
        <v>488.89</v>
      </c>
    </row>
    <row r="24" spans="1:11" s="6" customFormat="1" x14ac:dyDescent="0.3">
      <c r="A24" s="4" t="s">
        <v>86</v>
      </c>
      <c r="B24">
        <v>33.67</v>
      </c>
      <c r="C24">
        <v>102.59</v>
      </c>
      <c r="D24">
        <v>70.489999999999995</v>
      </c>
      <c r="E24">
        <v>77.430000000000007</v>
      </c>
      <c r="F24">
        <v>111.8</v>
      </c>
      <c r="G24">
        <v>74.97</v>
      </c>
      <c r="H24">
        <v>121.06</v>
      </c>
      <c r="I24">
        <v>95.14</v>
      </c>
      <c r="J24">
        <v>133.93</v>
      </c>
      <c r="K24">
        <v>123.01</v>
      </c>
    </row>
    <row r="25" spans="1:11" s="6" customFormat="1" x14ac:dyDescent="0.3">
      <c r="A25" s="6" t="s">
        <v>9</v>
      </c>
      <c r="B25">
        <v>30.66</v>
      </c>
      <c r="C25">
        <v>35.85</v>
      </c>
      <c r="D25">
        <v>58.44</v>
      </c>
      <c r="E25">
        <v>99.19</v>
      </c>
      <c r="F25">
        <v>88.38</v>
      </c>
      <c r="G25">
        <v>160.38</v>
      </c>
      <c r="H25">
        <v>173.8</v>
      </c>
      <c r="I25">
        <v>227.88</v>
      </c>
      <c r="J25">
        <v>525.37</v>
      </c>
      <c r="K25">
        <v>600.53</v>
      </c>
    </row>
    <row r="26" spans="1:11" s="6" customFormat="1" x14ac:dyDescent="0.3">
      <c r="A26" s="6" t="s">
        <v>10</v>
      </c>
      <c r="B26">
        <v>58.13</v>
      </c>
      <c r="C26">
        <v>63.42</v>
      </c>
      <c r="D26">
        <v>73.22</v>
      </c>
      <c r="E26">
        <v>87.21</v>
      </c>
      <c r="F26">
        <v>107.22</v>
      </c>
      <c r="G26">
        <v>118.28</v>
      </c>
      <c r="H26">
        <v>132.06</v>
      </c>
      <c r="I26">
        <v>150.06</v>
      </c>
      <c r="J26">
        <v>224.06</v>
      </c>
      <c r="K26">
        <v>243.65</v>
      </c>
    </row>
    <row r="27" spans="1:11" s="6" customFormat="1" x14ac:dyDescent="0.3">
      <c r="A27" s="6" t="s">
        <v>11</v>
      </c>
      <c r="B27">
        <v>51.06</v>
      </c>
      <c r="C27">
        <v>32.21</v>
      </c>
      <c r="D27">
        <v>29.49</v>
      </c>
      <c r="E27">
        <v>19.54</v>
      </c>
      <c r="F27">
        <v>17.23</v>
      </c>
      <c r="G27">
        <v>13.34</v>
      </c>
      <c r="H27">
        <v>14.97</v>
      </c>
      <c r="I27">
        <v>13.27</v>
      </c>
      <c r="J27">
        <v>41.66</v>
      </c>
      <c r="K27">
        <v>29.17</v>
      </c>
    </row>
    <row r="28" spans="1:11" s="6" customFormat="1" x14ac:dyDescent="0.3">
      <c r="A28" s="6" t="s">
        <v>12</v>
      </c>
      <c r="B28">
        <v>82.42</v>
      </c>
      <c r="C28">
        <v>208</v>
      </c>
      <c r="D28">
        <v>509.08</v>
      </c>
      <c r="E28">
        <v>715.01</v>
      </c>
      <c r="F28">
        <v>625.25</v>
      </c>
      <c r="G28">
        <v>1154.78</v>
      </c>
      <c r="H28">
        <v>992.83</v>
      </c>
      <c r="I28">
        <v>834.59</v>
      </c>
      <c r="J28">
        <v>1390.02</v>
      </c>
      <c r="K28">
        <v>1491.9</v>
      </c>
    </row>
    <row r="29" spans="1:11" s="6" customFormat="1" x14ac:dyDescent="0.3">
      <c r="A29" s="6" t="s">
        <v>13</v>
      </c>
      <c r="B29">
        <v>12.27</v>
      </c>
      <c r="C29">
        <v>77.25</v>
      </c>
      <c r="D29">
        <v>162.49</v>
      </c>
      <c r="E29">
        <v>237.11</v>
      </c>
      <c r="F29">
        <v>153.53</v>
      </c>
      <c r="G29">
        <v>283.14999999999998</v>
      </c>
      <c r="H29">
        <v>257.22000000000003</v>
      </c>
      <c r="I29">
        <v>197.94</v>
      </c>
      <c r="J29">
        <v>313.39999999999998</v>
      </c>
      <c r="K29">
        <v>226.95</v>
      </c>
    </row>
    <row r="30" spans="1:11" s="6" customFormat="1" x14ac:dyDescent="0.3">
      <c r="A30" s="6" t="s">
        <v>14</v>
      </c>
      <c r="B30">
        <v>70.61</v>
      </c>
      <c r="C30">
        <v>131.27000000000001</v>
      </c>
      <c r="D30">
        <v>347.02</v>
      </c>
      <c r="E30">
        <v>478.93</v>
      </c>
      <c r="F30">
        <v>472.25</v>
      </c>
      <c r="G30">
        <v>871.46</v>
      </c>
      <c r="H30">
        <v>736.47</v>
      </c>
      <c r="I30">
        <v>636.78</v>
      </c>
      <c r="J30">
        <v>1076.6500000000001</v>
      </c>
      <c r="K30">
        <v>1264.94</v>
      </c>
    </row>
    <row r="31" spans="1:11" s="6" customFormat="1" x14ac:dyDescent="0.3">
      <c r="A31" s="6" t="s">
        <v>70</v>
      </c>
      <c r="B31">
        <v>14.71</v>
      </c>
      <c r="C31">
        <v>18.39</v>
      </c>
      <c r="D31">
        <v>24.52</v>
      </c>
      <c r="E31">
        <v>30.64</v>
      </c>
      <c r="F31">
        <v>30.64</v>
      </c>
      <c r="G31">
        <v>101.12</v>
      </c>
      <c r="H31">
        <v>92.36</v>
      </c>
      <c r="I31">
        <v>92.36</v>
      </c>
      <c r="J31">
        <v>198.9</v>
      </c>
      <c r="K31">
        <v>313.26</v>
      </c>
    </row>
    <row r="32" spans="1:11" s="6" customFormat="1" x14ac:dyDescent="0.3"/>
    <row r="33" spans="1:11" x14ac:dyDescent="0.3">
      <c r="A33" s="6"/>
    </row>
    <row r="34" spans="1:11" x14ac:dyDescent="0.3">
      <c r="A34" s="6"/>
    </row>
    <row r="35" spans="1:11" x14ac:dyDescent="0.3">
      <c r="A35" s="6"/>
    </row>
    <row r="36" spans="1:11" x14ac:dyDescent="0.3">
      <c r="A36" s="6"/>
    </row>
    <row r="37" spans="1:11" x14ac:dyDescent="0.3">
      <c r="A37" s="6"/>
    </row>
    <row r="38" spans="1:11" x14ac:dyDescent="0.3">
      <c r="A38" s="6"/>
    </row>
    <row r="39" spans="1:11" x14ac:dyDescent="0.3">
      <c r="A39" s="6"/>
    </row>
    <row r="40" spans="1:11" x14ac:dyDescent="0.3">
      <c r="A40" s="1" t="s">
        <v>39</v>
      </c>
    </row>
    <row r="41" spans="1:11" s="18" customFormat="1" x14ac:dyDescent="0.3">
      <c r="A41" s="17" t="s">
        <v>38</v>
      </c>
      <c r="B41" s="12">
        <v>44926</v>
      </c>
      <c r="C41" s="12">
        <v>45016</v>
      </c>
      <c r="D41" s="12">
        <v>45107</v>
      </c>
      <c r="E41" s="12">
        <v>45199</v>
      </c>
      <c r="F41" s="12">
        <v>45291</v>
      </c>
      <c r="G41" s="12">
        <v>45382</v>
      </c>
      <c r="H41" s="12">
        <v>45473</v>
      </c>
      <c r="I41" s="12">
        <v>45565</v>
      </c>
      <c r="J41" s="12">
        <v>45657</v>
      </c>
      <c r="K41" s="12">
        <v>45747</v>
      </c>
    </row>
    <row r="42" spans="1:11" s="6" customFormat="1" x14ac:dyDescent="0.3">
      <c r="A42" s="6" t="s">
        <v>6</v>
      </c>
      <c r="B42">
        <v>2291.35</v>
      </c>
      <c r="C42">
        <v>2214.48</v>
      </c>
      <c r="D42">
        <v>2355.17</v>
      </c>
      <c r="E42">
        <v>2477.71</v>
      </c>
      <c r="F42">
        <v>2727.61</v>
      </c>
      <c r="G42">
        <v>2300.66</v>
      </c>
      <c r="H42">
        <v>2818.39</v>
      </c>
      <c r="I42">
        <v>2277.25</v>
      </c>
      <c r="J42">
        <v>2948.02</v>
      </c>
      <c r="K42">
        <v>2444.88</v>
      </c>
    </row>
    <row r="43" spans="1:11" s="6" customFormat="1" x14ac:dyDescent="0.3">
      <c r="A43" s="6" t="s">
        <v>7</v>
      </c>
      <c r="B43">
        <v>2105.96</v>
      </c>
      <c r="C43">
        <v>1981.32</v>
      </c>
      <c r="D43">
        <v>2024.12</v>
      </c>
      <c r="E43">
        <v>2213.52</v>
      </c>
      <c r="F43">
        <v>2402.3200000000002</v>
      </c>
      <c r="G43">
        <v>2015.25</v>
      </c>
      <c r="H43">
        <v>2450.9899999999998</v>
      </c>
      <c r="I43">
        <v>2047.43</v>
      </c>
      <c r="J43">
        <v>2615.7399999999998</v>
      </c>
      <c r="K43">
        <v>2157.63</v>
      </c>
    </row>
    <row r="44" spans="1:11" s="6" customFormat="1" x14ac:dyDescent="0.3">
      <c r="A44" s="6" t="s">
        <v>9</v>
      </c>
      <c r="B44">
        <v>91.68</v>
      </c>
      <c r="C44">
        <v>86.46</v>
      </c>
      <c r="D44">
        <v>99.02</v>
      </c>
      <c r="E44">
        <v>93.75</v>
      </c>
      <c r="F44">
        <v>128.6</v>
      </c>
      <c r="G44">
        <v>132.77000000000001</v>
      </c>
      <c r="H44">
        <v>103.04</v>
      </c>
      <c r="I44">
        <v>140.05000000000001</v>
      </c>
      <c r="J44">
        <v>142.6</v>
      </c>
      <c r="K44">
        <v>177.6</v>
      </c>
    </row>
    <row r="45" spans="1:11" s="6" customFormat="1" x14ac:dyDescent="0.3">
      <c r="A45" s="6" t="s">
        <v>10</v>
      </c>
      <c r="B45">
        <v>37.97</v>
      </c>
      <c r="C45">
        <v>38.369999999999997</v>
      </c>
      <c r="D45">
        <v>40.299999999999997</v>
      </c>
      <c r="E45">
        <v>58.34</v>
      </c>
      <c r="F45">
        <v>56.62</v>
      </c>
      <c r="G45">
        <v>59.24</v>
      </c>
      <c r="H45">
        <v>61.63</v>
      </c>
      <c r="I45">
        <v>61.07</v>
      </c>
      <c r="J45">
        <v>61.53</v>
      </c>
      <c r="K45">
        <v>61.97</v>
      </c>
    </row>
    <row r="46" spans="1:11" s="6" customFormat="1" x14ac:dyDescent="0.3">
      <c r="A46" s="6" t="s">
        <v>11</v>
      </c>
      <c r="B46">
        <v>3.48</v>
      </c>
      <c r="C46">
        <v>3.63</v>
      </c>
      <c r="D46">
        <v>3.43</v>
      </c>
      <c r="E46">
        <v>9.43</v>
      </c>
      <c r="F46">
        <v>11.16</v>
      </c>
      <c r="G46">
        <v>11.66</v>
      </c>
      <c r="H46">
        <v>10.73</v>
      </c>
      <c r="I46">
        <v>9.7899999999999991</v>
      </c>
      <c r="J46">
        <v>3.54</v>
      </c>
      <c r="K46">
        <v>5.14</v>
      </c>
    </row>
    <row r="47" spans="1:11" s="6" customFormat="1" x14ac:dyDescent="0.3">
      <c r="A47" s="6" t="s">
        <v>12</v>
      </c>
      <c r="B47">
        <v>235.62</v>
      </c>
      <c r="C47">
        <v>277.62</v>
      </c>
      <c r="D47">
        <v>386.34</v>
      </c>
      <c r="E47">
        <v>290.17</v>
      </c>
      <c r="F47">
        <v>386.11</v>
      </c>
      <c r="G47">
        <v>347.28</v>
      </c>
      <c r="H47">
        <v>398.08</v>
      </c>
      <c r="I47">
        <v>299.01</v>
      </c>
      <c r="J47">
        <v>409.81</v>
      </c>
      <c r="K47">
        <v>397.74</v>
      </c>
    </row>
    <row r="48" spans="1:11" s="6" customFormat="1" x14ac:dyDescent="0.3">
      <c r="A48" s="6" t="s">
        <v>13</v>
      </c>
      <c r="B48">
        <v>54.82</v>
      </c>
      <c r="C48">
        <v>61.16</v>
      </c>
      <c r="D48">
        <v>96.45</v>
      </c>
      <c r="E48">
        <v>79.66</v>
      </c>
      <c r="F48">
        <v>87.59</v>
      </c>
      <c r="G48">
        <v>77.3</v>
      </c>
      <c r="H48">
        <v>96.4</v>
      </c>
      <c r="I48">
        <v>-25.21</v>
      </c>
      <c r="J48">
        <v>89.18</v>
      </c>
      <c r="K48">
        <v>79.319999999999993</v>
      </c>
    </row>
    <row r="49" spans="1:11" s="6" customFormat="1" x14ac:dyDescent="0.3">
      <c r="A49" s="6" t="s">
        <v>14</v>
      </c>
      <c r="B49">
        <v>180.82</v>
      </c>
      <c r="C49">
        <v>216.49</v>
      </c>
      <c r="D49">
        <v>289.89999999999998</v>
      </c>
      <c r="E49">
        <v>210.53</v>
      </c>
      <c r="F49">
        <v>298.51</v>
      </c>
      <c r="G49">
        <v>269.99</v>
      </c>
      <c r="H49">
        <v>301.64999999999998</v>
      </c>
      <c r="I49">
        <v>324.23</v>
      </c>
      <c r="J49">
        <v>320.64</v>
      </c>
      <c r="K49">
        <v>318.42</v>
      </c>
    </row>
    <row r="50" spans="1:11" x14ac:dyDescent="0.3">
      <c r="A50" s="6" t="s">
        <v>8</v>
      </c>
      <c r="B50">
        <v>185.39</v>
      </c>
      <c r="C50">
        <v>233.16</v>
      </c>
      <c r="D50">
        <v>331.05</v>
      </c>
      <c r="E50">
        <v>264.19</v>
      </c>
      <c r="F50">
        <v>325.29000000000002</v>
      </c>
      <c r="G50">
        <v>285.41000000000003</v>
      </c>
      <c r="H50">
        <v>367.4</v>
      </c>
      <c r="I50">
        <v>229.82</v>
      </c>
      <c r="J50">
        <v>332.28</v>
      </c>
      <c r="K50">
        <v>287.25</v>
      </c>
    </row>
    <row r="51" spans="1:11" x14ac:dyDescent="0.3">
      <c r="A51" s="26"/>
    </row>
    <row r="52" spans="1:11" x14ac:dyDescent="0.3">
      <c r="A52" s="6"/>
    </row>
    <row r="53" spans="1:11" x14ac:dyDescent="0.3">
      <c r="A53" s="6"/>
    </row>
    <row r="54" spans="1:11" x14ac:dyDescent="0.3">
      <c r="A54" s="6"/>
    </row>
    <row r="55" spans="1:11" x14ac:dyDescent="0.3">
      <c r="A55" s="1" t="s">
        <v>40</v>
      </c>
    </row>
    <row r="56" spans="1:11" s="18" customFormat="1" x14ac:dyDescent="0.3">
      <c r="A56" s="17" t="s">
        <v>38</v>
      </c>
      <c r="B56" s="12">
        <v>42460</v>
      </c>
      <c r="C56" s="12">
        <v>42825</v>
      </c>
      <c r="D56" s="12">
        <v>43190</v>
      </c>
      <c r="E56" s="12">
        <v>43555</v>
      </c>
      <c r="F56" s="12">
        <v>43921</v>
      </c>
      <c r="G56" s="12">
        <v>44286</v>
      </c>
      <c r="H56" s="12">
        <v>44651</v>
      </c>
      <c r="I56" s="12">
        <v>45016</v>
      </c>
      <c r="J56" s="12">
        <v>45382</v>
      </c>
      <c r="K56" s="12">
        <v>45747</v>
      </c>
    </row>
    <row r="57" spans="1:11" x14ac:dyDescent="0.3">
      <c r="A57" s="6" t="s">
        <v>24</v>
      </c>
      <c r="B57">
        <v>122.58</v>
      </c>
      <c r="C57">
        <v>122.58</v>
      </c>
      <c r="D57">
        <v>122.58</v>
      </c>
      <c r="E57">
        <v>122.58</v>
      </c>
      <c r="F57">
        <v>122.58</v>
      </c>
      <c r="G57">
        <v>134.83000000000001</v>
      </c>
      <c r="H57">
        <v>131.94</v>
      </c>
      <c r="I57">
        <v>131.94</v>
      </c>
      <c r="J57">
        <v>110.5</v>
      </c>
      <c r="K57">
        <v>111.88</v>
      </c>
    </row>
    <row r="58" spans="1:11" x14ac:dyDescent="0.3">
      <c r="A58" s="6" t="s">
        <v>25</v>
      </c>
      <c r="B58">
        <v>1343.9</v>
      </c>
      <c r="C58">
        <v>1498.35</v>
      </c>
      <c r="D58">
        <v>2092.56</v>
      </c>
      <c r="E58">
        <v>2550.91</v>
      </c>
      <c r="F58">
        <v>2994.82</v>
      </c>
      <c r="G58">
        <v>4891.3</v>
      </c>
      <c r="H58">
        <v>7467.96</v>
      </c>
      <c r="I58">
        <v>8054.77</v>
      </c>
      <c r="J58">
        <v>9278.01</v>
      </c>
      <c r="K58">
        <v>10254.92</v>
      </c>
    </row>
    <row r="59" spans="1:11" x14ac:dyDescent="0.3">
      <c r="A59" s="6" t="s">
        <v>71</v>
      </c>
      <c r="B59">
        <v>368.12</v>
      </c>
      <c r="C59">
        <v>265.43</v>
      </c>
      <c r="D59">
        <v>51.09</v>
      </c>
      <c r="E59">
        <v>280.95999999999998</v>
      </c>
      <c r="F59">
        <v>47.67</v>
      </c>
      <c r="G59">
        <v>60.61</v>
      </c>
      <c r="H59">
        <v>51.95</v>
      </c>
      <c r="I59">
        <v>57.3</v>
      </c>
      <c r="J59">
        <v>448.46</v>
      </c>
      <c r="K59">
        <v>105.18</v>
      </c>
    </row>
    <row r="60" spans="1:11" x14ac:dyDescent="0.3">
      <c r="A60" s="6" t="s">
        <v>72</v>
      </c>
      <c r="B60">
        <v>1133.58</v>
      </c>
      <c r="C60">
        <v>1312.86</v>
      </c>
      <c r="D60">
        <v>1706.3</v>
      </c>
      <c r="E60">
        <v>1752.52</v>
      </c>
      <c r="F60">
        <v>1848.89</v>
      </c>
      <c r="G60">
        <v>1791.43</v>
      </c>
      <c r="H60">
        <v>1455.89</v>
      </c>
      <c r="I60">
        <v>1840.81</v>
      </c>
      <c r="J60">
        <v>2563.39</v>
      </c>
      <c r="K60">
        <v>2622.71</v>
      </c>
    </row>
    <row r="61" spans="1:11" s="1" customFormat="1" x14ac:dyDescent="0.3">
      <c r="A61" s="1" t="s">
        <v>26</v>
      </c>
      <c r="B61">
        <v>2968.18</v>
      </c>
      <c r="C61">
        <v>3199.22</v>
      </c>
      <c r="D61">
        <v>3972.53</v>
      </c>
      <c r="E61">
        <v>4706.97</v>
      </c>
      <c r="F61">
        <v>5013.96</v>
      </c>
      <c r="G61">
        <v>6878.17</v>
      </c>
      <c r="H61">
        <v>9107.74</v>
      </c>
      <c r="I61">
        <v>10084.82</v>
      </c>
      <c r="J61">
        <v>12400.36</v>
      </c>
      <c r="K61">
        <v>13094.69</v>
      </c>
    </row>
    <row r="62" spans="1:11" x14ac:dyDescent="0.3">
      <c r="A62" s="6" t="s">
        <v>27</v>
      </c>
      <c r="B62">
        <v>1539.02</v>
      </c>
      <c r="C62">
        <v>1581.14</v>
      </c>
      <c r="D62">
        <v>1587.8</v>
      </c>
      <c r="E62">
        <v>1647.23</v>
      </c>
      <c r="F62">
        <v>1702.41</v>
      </c>
      <c r="G62">
        <v>1796.23</v>
      </c>
      <c r="H62">
        <v>1841.05</v>
      </c>
      <c r="I62">
        <v>1891.15</v>
      </c>
      <c r="J62">
        <v>2165.2800000000002</v>
      </c>
      <c r="K62">
        <v>2053.1799999999998</v>
      </c>
    </row>
    <row r="63" spans="1:11" x14ac:dyDescent="0.3">
      <c r="A63" s="6" t="s">
        <v>28</v>
      </c>
      <c r="B63">
        <v>58.43</v>
      </c>
      <c r="C63">
        <v>34.700000000000003</v>
      </c>
      <c r="D63">
        <v>65.72</v>
      </c>
      <c r="E63">
        <v>79.959999999999994</v>
      </c>
      <c r="F63">
        <v>124.66</v>
      </c>
      <c r="G63">
        <v>64.69</v>
      </c>
      <c r="H63">
        <v>87.8</v>
      </c>
      <c r="I63">
        <v>113.68</v>
      </c>
      <c r="J63">
        <v>161.4</v>
      </c>
      <c r="K63">
        <v>152.54</v>
      </c>
    </row>
    <row r="64" spans="1:11" x14ac:dyDescent="0.3">
      <c r="A64" s="6" t="s">
        <v>29</v>
      </c>
      <c r="B64">
        <v>63.66</v>
      </c>
      <c r="C64">
        <v>212.34</v>
      </c>
      <c r="D64">
        <v>549.04</v>
      </c>
      <c r="E64">
        <v>490.79</v>
      </c>
      <c r="F64">
        <v>797.36</v>
      </c>
      <c r="G64">
        <v>1938.02</v>
      </c>
      <c r="H64">
        <v>4835.84</v>
      </c>
      <c r="I64">
        <v>4766.6899999999996</v>
      </c>
      <c r="J64">
        <v>5019.4799999999996</v>
      </c>
      <c r="K64">
        <v>5605.21</v>
      </c>
    </row>
    <row r="65" spans="1:11" x14ac:dyDescent="0.3">
      <c r="A65" s="6" t="s">
        <v>73</v>
      </c>
      <c r="B65">
        <v>1307.07</v>
      </c>
      <c r="C65">
        <v>1371.04</v>
      </c>
      <c r="D65">
        <v>1769.97</v>
      </c>
      <c r="E65">
        <v>2488.9899999999998</v>
      </c>
      <c r="F65">
        <v>2389.5300000000002</v>
      </c>
      <c r="G65">
        <v>3079.23</v>
      </c>
      <c r="H65">
        <v>2343.0500000000002</v>
      </c>
      <c r="I65">
        <v>3313.3</v>
      </c>
      <c r="J65">
        <v>5054.2</v>
      </c>
      <c r="K65">
        <v>5283.76</v>
      </c>
    </row>
    <row r="66" spans="1:11" s="1" customFormat="1" x14ac:dyDescent="0.3">
      <c r="A66" s="1" t="s">
        <v>26</v>
      </c>
      <c r="B66">
        <v>2968.18</v>
      </c>
      <c r="C66">
        <v>3199.22</v>
      </c>
      <c r="D66">
        <v>3972.53</v>
      </c>
      <c r="E66">
        <v>4706.97</v>
      </c>
      <c r="F66">
        <v>5013.96</v>
      </c>
      <c r="G66">
        <v>6878.17</v>
      </c>
      <c r="H66">
        <v>9107.74</v>
      </c>
      <c r="I66">
        <v>10084.82</v>
      </c>
      <c r="J66">
        <v>12400.36</v>
      </c>
      <c r="K66">
        <v>13094.69</v>
      </c>
    </row>
    <row r="67" spans="1:11" s="6" customFormat="1" x14ac:dyDescent="0.3">
      <c r="A67" s="6" t="s">
        <v>78</v>
      </c>
      <c r="B67">
        <v>374.97</v>
      </c>
      <c r="C67">
        <v>456.45</v>
      </c>
      <c r="D67">
        <v>592</v>
      </c>
      <c r="E67">
        <v>931.05</v>
      </c>
      <c r="F67">
        <v>731.86</v>
      </c>
      <c r="G67">
        <v>657.58</v>
      </c>
      <c r="H67">
        <v>792.62</v>
      </c>
      <c r="I67">
        <v>1179.6500000000001</v>
      </c>
      <c r="J67">
        <v>1427.91</v>
      </c>
      <c r="K67">
        <v>1331.84</v>
      </c>
    </row>
    <row r="68" spans="1:11" x14ac:dyDescent="0.3">
      <c r="A68" s="6" t="s">
        <v>45</v>
      </c>
      <c r="B68">
        <v>456.76</v>
      </c>
      <c r="C68">
        <v>450.3</v>
      </c>
      <c r="D68">
        <v>565.73</v>
      </c>
      <c r="E68">
        <v>857.42</v>
      </c>
      <c r="F68">
        <v>883.36</v>
      </c>
      <c r="G68">
        <v>718.16</v>
      </c>
      <c r="H68">
        <v>846.56</v>
      </c>
      <c r="I68">
        <v>1217.68</v>
      </c>
      <c r="J68">
        <v>1716.16</v>
      </c>
      <c r="K68">
        <v>1398.99</v>
      </c>
    </row>
    <row r="69" spans="1:11" x14ac:dyDescent="0.3">
      <c r="A69" s="4" t="s">
        <v>87</v>
      </c>
      <c r="B69">
        <v>253.03</v>
      </c>
      <c r="C69">
        <v>244.1</v>
      </c>
      <c r="D69">
        <v>317.29000000000002</v>
      </c>
      <c r="E69">
        <v>243.3</v>
      </c>
      <c r="F69">
        <v>324.88</v>
      </c>
      <c r="G69">
        <v>1321.76</v>
      </c>
      <c r="H69">
        <v>271.83999999999997</v>
      </c>
      <c r="I69">
        <v>471.9</v>
      </c>
      <c r="J69">
        <v>1205.82</v>
      </c>
      <c r="K69">
        <v>1124.1300000000001</v>
      </c>
    </row>
    <row r="70" spans="1:11" x14ac:dyDescent="0.3">
      <c r="A70" s="4" t="s">
        <v>74</v>
      </c>
      <c r="B70">
        <v>122576878</v>
      </c>
      <c r="C70">
        <v>122576878</v>
      </c>
      <c r="D70">
        <v>122576878</v>
      </c>
      <c r="E70">
        <v>122576878</v>
      </c>
      <c r="F70">
        <v>122576878</v>
      </c>
      <c r="G70">
        <v>134834566</v>
      </c>
      <c r="H70">
        <v>131940604</v>
      </c>
      <c r="I70">
        <v>131940604</v>
      </c>
      <c r="J70">
        <v>110498261</v>
      </c>
      <c r="K70">
        <v>111877754</v>
      </c>
    </row>
    <row r="71" spans="1:11" x14ac:dyDescent="0.3">
      <c r="A71" s="4" t="s">
        <v>75</v>
      </c>
    </row>
    <row r="72" spans="1:11" x14ac:dyDescent="0.3">
      <c r="A72" s="4" t="s">
        <v>88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</row>
    <row r="74" spans="1:11" x14ac:dyDescent="0.3">
      <c r="A74" s="6"/>
    </row>
    <row r="75" spans="1:11" x14ac:dyDescent="0.3">
      <c r="A75" s="6"/>
    </row>
    <row r="76" spans="1:11" x14ac:dyDescent="0.3">
      <c r="A76" s="6"/>
    </row>
    <row r="77" spans="1:11" x14ac:dyDescent="0.3">
      <c r="A77" s="6"/>
    </row>
    <row r="78" spans="1:11" x14ac:dyDescent="0.3">
      <c r="A78" s="6"/>
    </row>
    <row r="79" spans="1:11" x14ac:dyDescent="0.3">
      <c r="A79" s="6"/>
    </row>
    <row r="80" spans="1:11" x14ac:dyDescent="0.3">
      <c r="A80" s="1" t="s">
        <v>41</v>
      </c>
    </row>
    <row r="81" spans="1:11" s="18" customFormat="1" x14ac:dyDescent="0.3">
      <c r="A81" s="17" t="s">
        <v>38</v>
      </c>
      <c r="B81" s="12">
        <v>42460</v>
      </c>
      <c r="C81" s="12">
        <v>42825</v>
      </c>
      <c r="D81" s="12">
        <v>43190</v>
      </c>
      <c r="E81" s="12">
        <v>43555</v>
      </c>
      <c r="F81" s="12">
        <v>43921</v>
      </c>
      <c r="G81" s="12">
        <v>44286</v>
      </c>
      <c r="H81" s="12">
        <v>44651</v>
      </c>
      <c r="I81" s="12">
        <v>45016</v>
      </c>
      <c r="J81" s="12">
        <v>45382</v>
      </c>
      <c r="K81" s="12">
        <v>45747</v>
      </c>
    </row>
    <row r="82" spans="1:11" s="1" customFormat="1" x14ac:dyDescent="0.3">
      <c r="A82" s="6" t="s">
        <v>32</v>
      </c>
      <c r="B82">
        <v>212.24</v>
      </c>
      <c r="C82">
        <v>303.83</v>
      </c>
      <c r="D82">
        <v>460.08</v>
      </c>
      <c r="E82">
        <v>-234.31</v>
      </c>
      <c r="F82">
        <v>797.16</v>
      </c>
      <c r="G82">
        <v>1128.6600000000001</v>
      </c>
      <c r="H82">
        <v>32.28</v>
      </c>
      <c r="I82">
        <v>223.91</v>
      </c>
      <c r="J82">
        <v>788.6</v>
      </c>
      <c r="K82">
        <v>1003.19</v>
      </c>
    </row>
    <row r="83" spans="1:11" s="6" customFormat="1" x14ac:dyDescent="0.3">
      <c r="A83" s="6" t="s">
        <v>33</v>
      </c>
      <c r="B83">
        <v>-44.09</v>
      </c>
      <c r="C83">
        <v>-154.61000000000001</v>
      </c>
      <c r="D83">
        <v>-374.18</v>
      </c>
      <c r="E83">
        <v>-17.66</v>
      </c>
      <c r="F83">
        <v>-420.87</v>
      </c>
      <c r="G83">
        <v>-2195.15</v>
      </c>
      <c r="H83">
        <v>-1856.39</v>
      </c>
      <c r="I83">
        <v>-62.05</v>
      </c>
      <c r="J83">
        <v>-759.06</v>
      </c>
      <c r="K83">
        <v>-193.85</v>
      </c>
    </row>
    <row r="84" spans="1:11" s="6" customFormat="1" x14ac:dyDescent="0.3">
      <c r="A84" s="6" t="s">
        <v>34</v>
      </c>
      <c r="B84">
        <v>-190.89</v>
      </c>
      <c r="C84">
        <v>-113.12</v>
      </c>
      <c r="D84">
        <v>-0.99</v>
      </c>
      <c r="E84">
        <v>190.89</v>
      </c>
      <c r="F84">
        <v>-300.45</v>
      </c>
      <c r="G84">
        <v>1003.34</v>
      </c>
      <c r="H84">
        <v>1809.88</v>
      </c>
      <c r="I84">
        <v>-71.22</v>
      </c>
      <c r="J84">
        <v>24.77</v>
      </c>
      <c r="K84">
        <v>-701.86</v>
      </c>
    </row>
    <row r="85" spans="1:11" s="1" customFormat="1" x14ac:dyDescent="0.3">
      <c r="A85" s="6" t="s">
        <v>35</v>
      </c>
      <c r="B85">
        <v>-22.74</v>
      </c>
      <c r="C85">
        <v>36.1</v>
      </c>
      <c r="D85">
        <v>84.91</v>
      </c>
      <c r="E85">
        <v>-61.08</v>
      </c>
      <c r="F85">
        <v>75.84</v>
      </c>
      <c r="G85">
        <v>-63.15</v>
      </c>
      <c r="H85">
        <v>-14.23</v>
      </c>
      <c r="I85">
        <v>90.64</v>
      </c>
      <c r="J85">
        <v>54.31</v>
      </c>
      <c r="K85">
        <v>107.48</v>
      </c>
    </row>
    <row r="86" spans="1:11" x14ac:dyDescent="0.3">
      <c r="A86" s="6"/>
    </row>
    <row r="87" spans="1:11" x14ac:dyDescent="0.3">
      <c r="A87" s="6"/>
    </row>
    <row r="88" spans="1:11" x14ac:dyDescent="0.3">
      <c r="A88" s="6"/>
    </row>
    <row r="89" spans="1:11" x14ac:dyDescent="0.3">
      <c r="A89" s="6"/>
    </row>
    <row r="90" spans="1:11" s="1" customFormat="1" x14ac:dyDescent="0.3">
      <c r="A90" s="1" t="s">
        <v>77</v>
      </c>
      <c r="B90">
        <v>139.25</v>
      </c>
      <c r="C90">
        <v>538.75</v>
      </c>
      <c r="D90">
        <v>818.1</v>
      </c>
      <c r="E90">
        <v>796.05</v>
      </c>
      <c r="F90">
        <v>662.6</v>
      </c>
      <c r="G90">
        <v>1287.8</v>
      </c>
      <c r="H90">
        <v>1690.85</v>
      </c>
      <c r="I90">
        <v>1891.05</v>
      </c>
      <c r="J90">
        <v>2777.3</v>
      </c>
      <c r="K90">
        <v>3250.05</v>
      </c>
    </row>
    <row r="92" spans="1:11" s="1" customFormat="1" x14ac:dyDescent="0.3">
      <c r="A92" s="1" t="s">
        <v>76</v>
      </c>
    </row>
    <row r="93" spans="1:11" x14ac:dyDescent="0.3">
      <c r="A93" s="4" t="s">
        <v>89</v>
      </c>
      <c r="B93" s="24">
        <v>12.26</v>
      </c>
      <c r="C93" s="24">
        <v>12.26</v>
      </c>
      <c r="D93" s="24">
        <v>12.26</v>
      </c>
      <c r="E93" s="24">
        <v>12.26</v>
      </c>
      <c r="F93" s="24">
        <v>12.26</v>
      </c>
      <c r="G93" s="24">
        <v>13.48</v>
      </c>
      <c r="H93" s="24">
        <v>13.19</v>
      </c>
      <c r="I93" s="24">
        <v>13.19</v>
      </c>
      <c r="J93" s="24">
        <v>11.05</v>
      </c>
      <c r="K93" s="24">
        <v>11.19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ED8BF-9217-4390-A6E1-34CE9764BA14}">
  <sheetPr>
    <tabColor rgb="FF92D050"/>
  </sheetPr>
  <dimension ref="B2:F19"/>
  <sheetViews>
    <sheetView workbookViewId="0">
      <selection activeCell="D21" sqref="D21"/>
    </sheetView>
  </sheetViews>
  <sheetFormatPr defaultRowHeight="14.4" x14ac:dyDescent="0.3"/>
  <cols>
    <col min="1" max="1" width="2.5546875" style="55" customWidth="1"/>
    <col min="2" max="2" width="13.109375" style="55" bestFit="1" customWidth="1"/>
    <col min="3" max="16384" width="8.88671875" style="55"/>
  </cols>
  <sheetData>
    <row r="2" spans="2:6" x14ac:dyDescent="0.3">
      <c r="B2" s="27"/>
      <c r="C2" s="27" t="str">
        <f>'Data Sheet'!B1&amp; " - "&amp;'Data Sheet'!A17</f>
        <v>ESCORTS KUBOTA LTD - Sales</v>
      </c>
      <c r="D2" s="27"/>
      <c r="E2" s="27"/>
      <c r="F2" s="27"/>
    </row>
    <row r="3" spans="2:6" x14ac:dyDescent="0.3">
      <c r="B3" s="27" t="s">
        <v>220</v>
      </c>
      <c r="C3" s="29" t="s">
        <v>219</v>
      </c>
      <c r="D3" s="29" t="s">
        <v>221</v>
      </c>
      <c r="E3" s="27" t="s">
        <v>222</v>
      </c>
      <c r="F3" s="27"/>
    </row>
    <row r="4" spans="2:6" x14ac:dyDescent="0.3">
      <c r="B4" s="86">
        <v>1</v>
      </c>
      <c r="C4" s="55" t="s">
        <v>223</v>
      </c>
      <c r="D4" s="87">
        <v>3431.99</v>
      </c>
      <c r="E4" s="86" t="s">
        <v>97</v>
      </c>
    </row>
    <row r="5" spans="2:6" x14ac:dyDescent="0.3">
      <c r="B5" s="86">
        <v>2</v>
      </c>
      <c r="C5" s="55" t="s">
        <v>224</v>
      </c>
      <c r="D5" s="87">
        <v>4145.33</v>
      </c>
      <c r="E5" s="57">
        <f>D5/D4-1</f>
        <v>0.20785025597393947</v>
      </c>
    </row>
    <row r="6" spans="2:6" x14ac:dyDescent="0.3">
      <c r="B6" s="86">
        <v>3</v>
      </c>
      <c r="C6" s="55" t="s">
        <v>225</v>
      </c>
      <c r="D6" s="87">
        <v>5059.34</v>
      </c>
      <c r="E6" s="57">
        <f t="shared" ref="E6:E18" si="0">D6/D5-1</f>
        <v>0.22049149283651737</v>
      </c>
    </row>
    <row r="7" spans="2:6" x14ac:dyDescent="0.3">
      <c r="B7" s="86">
        <v>4</v>
      </c>
      <c r="C7" s="55" t="s">
        <v>226</v>
      </c>
      <c r="D7" s="87">
        <v>6262.02</v>
      </c>
      <c r="E7" s="57">
        <f t="shared" si="0"/>
        <v>0.23771480074476115</v>
      </c>
    </row>
    <row r="8" spans="2:6" x14ac:dyDescent="0.3">
      <c r="B8" s="86">
        <v>5</v>
      </c>
      <c r="C8" s="55" t="s">
        <v>227</v>
      </c>
      <c r="D8" s="87">
        <v>5810.09</v>
      </c>
      <c r="E8" s="57">
        <f t="shared" si="0"/>
        <v>-7.2170002650901788E-2</v>
      </c>
    </row>
    <row r="9" spans="2:6" x14ac:dyDescent="0.3">
      <c r="B9" s="86">
        <v>6</v>
      </c>
      <c r="C9" s="55" t="s">
        <v>228</v>
      </c>
      <c r="D9" s="87">
        <v>7014.42</v>
      </c>
      <c r="E9" s="57">
        <f t="shared" si="0"/>
        <v>0.20728250336913878</v>
      </c>
    </row>
    <row r="10" spans="2:6" x14ac:dyDescent="0.3">
      <c r="B10" s="86">
        <v>7</v>
      </c>
      <c r="C10" s="55" t="s">
        <v>229</v>
      </c>
      <c r="D10" s="87">
        <v>7282.65</v>
      </c>
      <c r="E10" s="57">
        <f t="shared" si="0"/>
        <v>3.8239797445833057E-2</v>
      </c>
    </row>
    <row r="11" spans="2:6" x14ac:dyDescent="0.3">
      <c r="B11" s="86">
        <v>8</v>
      </c>
      <c r="C11" s="55" t="s">
        <v>230</v>
      </c>
      <c r="D11" s="87">
        <v>8428.69</v>
      </c>
      <c r="E11" s="57">
        <f t="shared" si="0"/>
        <v>0.15736579404475037</v>
      </c>
    </row>
    <row r="12" spans="2:6" x14ac:dyDescent="0.3">
      <c r="B12" s="86">
        <v>9</v>
      </c>
      <c r="C12" s="55" t="s">
        <v>231</v>
      </c>
      <c r="D12" s="87">
        <v>9803.59</v>
      </c>
      <c r="E12" s="57">
        <f t="shared" si="0"/>
        <v>0.16312143405440227</v>
      </c>
    </row>
    <row r="13" spans="2:6" x14ac:dyDescent="0.3">
      <c r="B13" s="86">
        <v>10</v>
      </c>
      <c r="C13" s="55" t="s">
        <v>232</v>
      </c>
      <c r="D13" s="87">
        <v>10243.879999999999</v>
      </c>
      <c r="E13" s="57">
        <f t="shared" si="0"/>
        <v>4.4911098893364532E-2</v>
      </c>
    </row>
    <row r="14" spans="2:6" x14ac:dyDescent="0.3">
      <c r="B14" s="88">
        <v>11</v>
      </c>
      <c r="C14" s="89" t="s">
        <v>233</v>
      </c>
      <c r="D14" s="89">
        <f>FORECAST(B14,$D$4:$D$13,$B$4:$B$13)</f>
        <v>10815.793333333335</v>
      </c>
      <c r="E14" s="90">
        <f t="shared" si="0"/>
        <v>5.5829757214389097E-2</v>
      </c>
    </row>
    <row r="15" spans="2:6" x14ac:dyDescent="0.3">
      <c r="B15" s="88">
        <v>12</v>
      </c>
      <c r="C15" s="89" t="s">
        <v>234</v>
      </c>
      <c r="D15" s="89">
        <f t="shared" ref="D15:D18" si="1">FORECAST(B15,$D$4:$D$13,$B$4:$B$13)</f>
        <v>11555.355757575759</v>
      </c>
      <c r="E15" s="90">
        <f t="shared" si="0"/>
        <v>6.8378009957268393E-2</v>
      </c>
    </row>
    <row r="16" spans="2:6" x14ac:dyDescent="0.3">
      <c r="B16" s="88">
        <v>13</v>
      </c>
      <c r="C16" s="89" t="s">
        <v>235</v>
      </c>
      <c r="D16" s="89">
        <f t="shared" si="1"/>
        <v>12294.918181818182</v>
      </c>
      <c r="E16" s="90">
        <f t="shared" si="0"/>
        <v>6.4001701008431722E-2</v>
      </c>
    </row>
    <row r="17" spans="2:5" x14ac:dyDescent="0.3">
      <c r="B17" s="88">
        <v>14</v>
      </c>
      <c r="C17" s="89" t="s">
        <v>236</v>
      </c>
      <c r="D17" s="89">
        <f t="shared" si="1"/>
        <v>13034.480606060606</v>
      </c>
      <c r="E17" s="90">
        <f t="shared" si="0"/>
        <v>6.0151878467649578E-2</v>
      </c>
    </row>
    <row r="18" spans="2:5" x14ac:dyDescent="0.3">
      <c r="B18" s="88">
        <v>15</v>
      </c>
      <c r="C18" s="89" t="s">
        <v>237</v>
      </c>
      <c r="D18" s="89">
        <f t="shared" si="1"/>
        <v>13774.04303030303</v>
      </c>
      <c r="E18" s="90">
        <f t="shared" si="0"/>
        <v>5.6738925515647409E-2</v>
      </c>
    </row>
    <row r="19" spans="2:5" x14ac:dyDescent="0.3">
      <c r="E19" s="5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65FA6-A034-4E87-84B9-6D9D295A5702}">
  <sheetPr>
    <tabColor rgb="FF92D050"/>
  </sheetPr>
  <dimension ref="A2:Q98"/>
  <sheetViews>
    <sheetView tabSelected="1" zoomScale="90" zoomScaleNormal="90" workbookViewId="0">
      <pane ySplit="3" topLeftCell="A4" activePane="bottomLeft" state="frozen"/>
      <selection pane="bottomLeft" activeCell="C2" sqref="C2"/>
    </sheetView>
  </sheetViews>
  <sheetFormatPr defaultRowHeight="14.4" x14ac:dyDescent="0.3"/>
  <cols>
    <col min="1" max="1" width="1.88671875" style="25" customWidth="1"/>
    <col min="2" max="2" width="54.44140625" style="25" bestFit="1" customWidth="1"/>
    <col min="3" max="7" width="10.44140625" style="25" bestFit="1" customWidth="1"/>
    <col min="8" max="9" width="11.109375" style="25" bestFit="1" customWidth="1"/>
    <col min="10" max="12" width="11.5546875" style="25" bestFit="1" customWidth="1"/>
    <col min="13" max="13" width="10.44140625" style="25" bestFit="1" customWidth="1"/>
    <col min="14" max="16384" width="8.88671875" style="25"/>
  </cols>
  <sheetData>
    <row r="2" spans="1:13" x14ac:dyDescent="0.3">
      <c r="B2" s="27" t="str">
        <f>"HISTORICAL FINANCIAL STATEMENT - "&amp;'Data Sheet'!B1</f>
        <v>HISTORICAL FINANCIAL STATEMENT - ESCORTS KUBOTA LTD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x14ac:dyDescent="0.3">
      <c r="B3" s="27" t="s">
        <v>93</v>
      </c>
      <c r="C3" s="28">
        <f>'Data Sheet'!B16</f>
        <v>42460</v>
      </c>
      <c r="D3" s="28">
        <f>'Data Sheet'!C16</f>
        <v>42825</v>
      </c>
      <c r="E3" s="28">
        <f>'Data Sheet'!D16</f>
        <v>43190</v>
      </c>
      <c r="F3" s="28">
        <f>'Data Sheet'!E16</f>
        <v>43555</v>
      </c>
      <c r="G3" s="28">
        <f>'Data Sheet'!F16</f>
        <v>43921</v>
      </c>
      <c r="H3" s="28">
        <f>'Data Sheet'!G16</f>
        <v>44286</v>
      </c>
      <c r="I3" s="28">
        <f>'Data Sheet'!H16</f>
        <v>44651</v>
      </c>
      <c r="J3" s="28">
        <f>'Data Sheet'!I16</f>
        <v>45016</v>
      </c>
      <c r="K3" s="28">
        <f>'Data Sheet'!J16</f>
        <v>45382</v>
      </c>
      <c r="L3" s="28">
        <f>'Data Sheet'!K16</f>
        <v>45747</v>
      </c>
      <c r="M3" s="29" t="s">
        <v>94</v>
      </c>
    </row>
    <row r="4" spans="1:13" x14ac:dyDescent="0.3">
      <c r="A4" s="30" t="s">
        <v>95</v>
      </c>
      <c r="B4" s="42" t="s">
        <v>96</v>
      </c>
      <c r="C4" s="43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spans="1:13" x14ac:dyDescent="0.3">
      <c r="B5" s="30" t="s">
        <v>100</v>
      </c>
      <c r="C5" s="35">
        <f>IFERROR('Data Sheet'!B17,0)</f>
        <v>3431.99</v>
      </c>
      <c r="D5" s="35">
        <f>IFERROR('Data Sheet'!C17,0)</f>
        <v>4145.33</v>
      </c>
      <c r="E5" s="35">
        <f>IFERROR('Data Sheet'!D17,0)</f>
        <v>5059.34</v>
      </c>
      <c r="F5" s="35">
        <f>IFERROR('Data Sheet'!E17,0)</f>
        <v>6262.02</v>
      </c>
      <c r="G5" s="35">
        <f>IFERROR('Data Sheet'!F17,0)</f>
        <v>5810.09</v>
      </c>
      <c r="H5" s="35">
        <f>IFERROR('Data Sheet'!G17,0)</f>
        <v>7014.42</v>
      </c>
      <c r="I5" s="35">
        <f>IFERROR('Data Sheet'!H17,0)</f>
        <v>7282.65</v>
      </c>
      <c r="J5" s="35">
        <f>IFERROR('Data Sheet'!I17,0)</f>
        <v>8428.69</v>
      </c>
      <c r="K5" s="35">
        <f>IFERROR('Data Sheet'!J17,0)</f>
        <v>9803.59</v>
      </c>
      <c r="L5" s="35">
        <f>IFERROR('Data Sheet'!K17,0)</f>
        <v>10243.879999999999</v>
      </c>
      <c r="M5" s="30">
        <f>IFERROR(SUM('Data Sheet'!H42:K42),0)</f>
        <v>10488.54</v>
      </c>
    </row>
    <row r="6" spans="1:13" x14ac:dyDescent="0.3">
      <c r="B6" s="31" t="s">
        <v>100</v>
      </c>
      <c r="C6" s="33" t="s">
        <v>97</v>
      </c>
      <c r="D6" s="34">
        <f>D5/C5-1</f>
        <v>0.20785025597393947</v>
      </c>
      <c r="E6" s="34">
        <f t="shared" ref="E6:M6" si="0">E5/D5-1</f>
        <v>0.22049149283651737</v>
      </c>
      <c r="F6" s="34">
        <f>F5/E5-1</f>
        <v>0.23771480074476115</v>
      </c>
      <c r="G6" s="34">
        <f t="shared" si="0"/>
        <v>-7.2170002650901788E-2</v>
      </c>
      <c r="H6" s="34">
        <f t="shared" si="0"/>
        <v>0.20728250336913878</v>
      </c>
      <c r="I6" s="34">
        <f t="shared" si="0"/>
        <v>3.8239797445833057E-2</v>
      </c>
      <c r="J6" s="34">
        <f t="shared" si="0"/>
        <v>0.15736579404475037</v>
      </c>
      <c r="K6" s="34">
        <f t="shared" si="0"/>
        <v>0.16312143405440227</v>
      </c>
      <c r="L6" s="34">
        <f t="shared" si="0"/>
        <v>4.4911098893364532E-2</v>
      </c>
      <c r="M6" s="34">
        <f t="shared" si="0"/>
        <v>2.3883528506776885E-2</v>
      </c>
    </row>
    <row r="8" spans="1:13" x14ac:dyDescent="0.3">
      <c r="B8" s="30" t="s">
        <v>98</v>
      </c>
      <c r="C8" s="35">
        <f>IFERROR(SUM('Data Sheet'!B18,'Data Sheet'!B20,'Data Sheet'!B21,'Data Sheet'!B22)-1*'Data Sheet'!B19,0)</f>
        <v>2932.37</v>
      </c>
      <c r="D8" s="35">
        <f>IFERROR(SUM('Data Sheet'!C18,'Data Sheet'!C20,'Data Sheet'!C21,'Data Sheet'!C22)-1*'Data Sheet'!C19,0)</f>
        <v>3429.9800000000005</v>
      </c>
      <c r="E8" s="35">
        <f>IFERROR(SUM('Data Sheet'!D18,'Data Sheet'!D20,'Data Sheet'!D21,'Data Sheet'!D22)-1*'Data Sheet'!D19,0)</f>
        <v>4073.4999999999995</v>
      </c>
      <c r="F8" s="35">
        <f>IFERROR(SUM('Data Sheet'!E18,'Data Sheet'!E20,'Data Sheet'!E21,'Data Sheet'!E22)-1*'Data Sheet'!E19,0)</f>
        <v>5030.5600000000004</v>
      </c>
      <c r="G8" s="35">
        <f>IFERROR(SUM('Data Sheet'!F18,'Data Sheet'!F20,'Data Sheet'!F21,'Data Sheet'!F22)-1*'Data Sheet'!F19,0)</f>
        <v>4613.3599999999997</v>
      </c>
      <c r="H8" s="35">
        <f>IFERROR(SUM('Data Sheet'!G18,'Data Sheet'!G20,'Data Sheet'!G21,'Data Sheet'!G22)-1*'Data Sheet'!G19,0)</f>
        <v>5443.16</v>
      </c>
      <c r="I8" s="35">
        <f>IFERROR(SUM('Data Sheet'!H18,'Data Sheet'!H20,'Data Sheet'!H21,'Data Sheet'!H22)-1*'Data Sheet'!H19,0)</f>
        <v>5800.92</v>
      </c>
      <c r="J8" s="35">
        <f>IFERROR(SUM('Data Sheet'!I18,'Data Sheet'!I20,'Data Sheet'!I21,'Data Sheet'!I22)-1*'Data Sheet'!I19,0)</f>
        <v>7072.2</v>
      </c>
      <c r="K8" s="35">
        <f>IFERROR(SUM('Data Sheet'!J18,'Data Sheet'!J20,'Data Sheet'!J21,'Data Sheet'!J22)-1*'Data Sheet'!J19,0)</f>
        <v>8066.7400000000007</v>
      </c>
      <c r="L8" s="35">
        <f>IFERROR(SUM('Data Sheet'!K18,'Data Sheet'!K20,'Data Sheet'!K21,'Data Sheet'!K22)-1*'Data Sheet'!K19,0)</f>
        <v>8467.7900000000009</v>
      </c>
      <c r="M8" s="36">
        <f>IFERROR(SUM('Data Sheet'!H43:K43),0)</f>
        <v>9271.7900000000009</v>
      </c>
    </row>
    <row r="9" spans="1:13" x14ac:dyDescent="0.3">
      <c r="B9" s="31" t="s">
        <v>99</v>
      </c>
      <c r="C9" s="34">
        <f>C8/C5</f>
        <v>0.85442265274665719</v>
      </c>
      <c r="D9" s="34">
        <f t="shared" ref="D9:L9" si="1">D8/D5</f>
        <v>0.82743231540070405</v>
      </c>
      <c r="E9" s="34">
        <f t="shared" si="1"/>
        <v>0.80514454454533579</v>
      </c>
      <c r="F9" s="34">
        <f t="shared" si="1"/>
        <v>0.80334460765056648</v>
      </c>
      <c r="G9" s="34">
        <f t="shared" si="1"/>
        <v>0.79402556586903117</v>
      </c>
      <c r="H9" s="34">
        <f t="shared" si="1"/>
        <v>0.77599573450121317</v>
      </c>
      <c r="I9" s="34">
        <f t="shared" si="1"/>
        <v>0.79653972111799964</v>
      </c>
      <c r="J9" s="34">
        <f t="shared" si="1"/>
        <v>0.83906277250675954</v>
      </c>
      <c r="K9" s="34">
        <f t="shared" si="1"/>
        <v>0.82283530829012641</v>
      </c>
      <c r="L9" s="34">
        <f t="shared" si="1"/>
        <v>0.82661940592822269</v>
      </c>
      <c r="M9" s="32" t="s">
        <v>97</v>
      </c>
    </row>
    <row r="11" spans="1:13" x14ac:dyDescent="0.3">
      <c r="B11" s="52" t="s">
        <v>101</v>
      </c>
      <c r="C11" s="53">
        <f t="shared" ref="C11:M11" si="2">C5-C8</f>
        <v>499.61999999999989</v>
      </c>
      <c r="D11" s="53">
        <f t="shared" si="2"/>
        <v>715.34999999999945</v>
      </c>
      <c r="E11" s="53">
        <f t="shared" si="2"/>
        <v>985.8400000000006</v>
      </c>
      <c r="F11" s="53">
        <f t="shared" si="2"/>
        <v>1231.46</v>
      </c>
      <c r="G11" s="53">
        <f t="shared" si="2"/>
        <v>1196.7300000000005</v>
      </c>
      <c r="H11" s="53">
        <f t="shared" si="2"/>
        <v>1571.2600000000002</v>
      </c>
      <c r="I11" s="53">
        <f t="shared" si="2"/>
        <v>1481.7299999999996</v>
      </c>
      <c r="J11" s="53">
        <f t="shared" si="2"/>
        <v>1356.4900000000007</v>
      </c>
      <c r="K11" s="53">
        <f t="shared" si="2"/>
        <v>1736.8499999999995</v>
      </c>
      <c r="L11" s="53">
        <f t="shared" si="2"/>
        <v>1776.0899999999983</v>
      </c>
      <c r="M11" s="53">
        <f t="shared" si="2"/>
        <v>1216.75</v>
      </c>
    </row>
    <row r="12" spans="1:13" x14ac:dyDescent="0.3">
      <c r="B12" s="38" t="s">
        <v>110</v>
      </c>
      <c r="C12" s="40">
        <f>C11/C5</f>
        <v>0.14557734725334279</v>
      </c>
      <c r="D12" s="40">
        <f t="shared" ref="D12:M12" si="3">D11/D5</f>
        <v>0.17256768459929595</v>
      </c>
      <c r="E12" s="40">
        <f t="shared" si="3"/>
        <v>0.19485545545466415</v>
      </c>
      <c r="F12" s="40">
        <f t="shared" si="3"/>
        <v>0.19665539234943355</v>
      </c>
      <c r="G12" s="40">
        <f t="shared" si="3"/>
        <v>0.20597443413096878</v>
      </c>
      <c r="H12" s="40">
        <f t="shared" si="3"/>
        <v>0.22400426549878683</v>
      </c>
      <c r="I12" s="40">
        <f t="shared" si="3"/>
        <v>0.20346027888200033</v>
      </c>
      <c r="J12" s="40">
        <f t="shared" si="3"/>
        <v>0.16093722749324041</v>
      </c>
      <c r="K12" s="40">
        <f t="shared" si="3"/>
        <v>0.17716469170987356</v>
      </c>
      <c r="L12" s="40">
        <f t="shared" si="3"/>
        <v>0.17338059407177733</v>
      </c>
      <c r="M12" s="40">
        <f t="shared" si="3"/>
        <v>0.11600756635337234</v>
      </c>
    </row>
    <row r="14" spans="1:13" x14ac:dyDescent="0.3">
      <c r="B14" s="30" t="s">
        <v>102</v>
      </c>
      <c r="C14" s="35">
        <f>IFERROR(SUM('Data Sheet'!B23,'Data Sheet'!B24),0)</f>
        <v>338.67</v>
      </c>
      <c r="D14" s="35">
        <f>IFERROR(SUM('Data Sheet'!C23,'Data Sheet'!C24),0)</f>
        <v>447.57000000000005</v>
      </c>
      <c r="E14" s="35">
        <f>IFERROR(SUM('Data Sheet'!D23,'Data Sheet'!D24),0)</f>
        <v>432.49</v>
      </c>
      <c r="F14" s="35">
        <f>IFERROR(SUM('Data Sheet'!E23,'Data Sheet'!E24),0)</f>
        <v>508.89</v>
      </c>
      <c r="G14" s="35">
        <f>IFERROR(SUM('Data Sheet'!F23,'Data Sheet'!F24),0)</f>
        <v>535.41</v>
      </c>
      <c r="H14" s="35">
        <f>IFERROR(SUM('Data Sheet'!G23,'Data Sheet'!G24),0)</f>
        <v>445.24</v>
      </c>
      <c r="I14" s="35">
        <f>IFERROR(SUM('Data Sheet'!H23,'Data Sheet'!H24),0)</f>
        <v>515.67000000000007</v>
      </c>
      <c r="J14" s="35">
        <f>IFERROR(SUM('Data Sheet'!I23,'Data Sheet'!I24),0)</f>
        <v>586.45000000000005</v>
      </c>
      <c r="K14" s="35">
        <f>IFERROR(SUM('Data Sheet'!J23,'Data Sheet'!J24),0)</f>
        <v>606.48</v>
      </c>
      <c r="L14" s="35">
        <f>IFERROR(SUM('Data Sheet'!K23,'Data Sheet'!K24),0)</f>
        <v>611.9</v>
      </c>
    </row>
    <row r="15" spans="1:13" x14ac:dyDescent="0.3">
      <c r="B15" s="31" t="s">
        <v>103</v>
      </c>
      <c r="C15" s="37">
        <f t="shared" ref="C15:M15" si="4">C14/C5</f>
        <v>9.8680357460249016E-2</v>
      </c>
      <c r="D15" s="37">
        <f t="shared" si="4"/>
        <v>0.10796969119466968</v>
      </c>
      <c r="E15" s="37">
        <f t="shared" si="4"/>
        <v>8.5483482035206171E-2</v>
      </c>
      <c r="F15" s="37">
        <f t="shared" si="4"/>
        <v>8.1266109019134392E-2</v>
      </c>
      <c r="G15" s="37">
        <f t="shared" si="4"/>
        <v>9.215175668535254E-2</v>
      </c>
      <c r="H15" s="37">
        <f t="shared" si="4"/>
        <v>6.347495587660848E-2</v>
      </c>
      <c r="I15" s="37">
        <f t="shared" si="4"/>
        <v>7.0808016312743319E-2</v>
      </c>
      <c r="J15" s="37">
        <f t="shared" si="4"/>
        <v>6.9577834752494155E-2</v>
      </c>
      <c r="K15" s="37">
        <f t="shared" si="4"/>
        <v>6.1863052208425688E-2</v>
      </c>
      <c r="L15" s="37">
        <f t="shared" si="4"/>
        <v>5.9733226082304754E-2</v>
      </c>
      <c r="M15" s="37">
        <f t="shared" si="4"/>
        <v>0</v>
      </c>
    </row>
    <row r="17" spans="2:17" x14ac:dyDescent="0.3">
      <c r="B17" s="52" t="s">
        <v>104</v>
      </c>
      <c r="C17" s="53">
        <f>C11-C14</f>
        <v>160.94999999999987</v>
      </c>
      <c r="D17" s="53">
        <f t="shared" ref="D17:M17" si="5">D11-D14</f>
        <v>267.7799999999994</v>
      </c>
      <c r="E17" s="53">
        <f t="shared" si="5"/>
        <v>553.35000000000059</v>
      </c>
      <c r="F17" s="53">
        <f t="shared" si="5"/>
        <v>722.57</v>
      </c>
      <c r="G17" s="53">
        <f t="shared" si="5"/>
        <v>661.3200000000005</v>
      </c>
      <c r="H17" s="53">
        <f t="shared" si="5"/>
        <v>1126.0200000000002</v>
      </c>
      <c r="I17" s="53">
        <f t="shared" si="5"/>
        <v>966.05999999999949</v>
      </c>
      <c r="J17" s="53">
        <f t="shared" si="5"/>
        <v>770.04000000000065</v>
      </c>
      <c r="K17" s="53">
        <f t="shared" si="5"/>
        <v>1130.3699999999994</v>
      </c>
      <c r="L17" s="53">
        <f t="shared" si="5"/>
        <v>1164.1899999999982</v>
      </c>
      <c r="M17" s="53">
        <f t="shared" si="5"/>
        <v>1216.75</v>
      </c>
      <c r="N17" s="35"/>
      <c r="O17" s="35"/>
      <c r="P17" s="35"/>
      <c r="Q17" s="35"/>
    </row>
    <row r="18" spans="2:17" x14ac:dyDescent="0.3">
      <c r="B18" s="38" t="s">
        <v>106</v>
      </c>
      <c r="C18" s="39">
        <f t="shared" ref="C18:M18" si="6">C17/C5</f>
        <v>4.6896989793093771E-2</v>
      </c>
      <c r="D18" s="39">
        <f t="shared" si="6"/>
        <v>6.4597993404626269E-2</v>
      </c>
      <c r="E18" s="39">
        <f t="shared" si="6"/>
        <v>0.10937197341945799</v>
      </c>
      <c r="F18" s="39">
        <f t="shared" si="6"/>
        <v>0.11538928333029917</v>
      </c>
      <c r="G18" s="39">
        <f t="shared" si="6"/>
        <v>0.11382267744561625</v>
      </c>
      <c r="H18" s="39">
        <f t="shared" si="6"/>
        <v>0.16052930962217835</v>
      </c>
      <c r="I18" s="39">
        <f t="shared" si="6"/>
        <v>0.132652262569257</v>
      </c>
      <c r="J18" s="39">
        <f t="shared" si="6"/>
        <v>9.1359392740746267E-2</v>
      </c>
      <c r="K18" s="39">
        <f t="shared" si="6"/>
        <v>0.11530163950144788</v>
      </c>
      <c r="L18" s="39">
        <f t="shared" si="6"/>
        <v>0.11364736798947257</v>
      </c>
      <c r="M18" s="39">
        <f t="shared" si="6"/>
        <v>0.11600756635337234</v>
      </c>
    </row>
    <row r="20" spans="2:17" x14ac:dyDescent="0.3">
      <c r="B20" s="35" t="s">
        <v>105</v>
      </c>
      <c r="C20" s="35">
        <f>IFERROR('Data Sheet'!B27,0)</f>
        <v>51.06</v>
      </c>
      <c r="D20" s="35">
        <f>IFERROR('Data Sheet'!C27,0)</f>
        <v>32.21</v>
      </c>
      <c r="E20" s="35">
        <f>IFERROR('Data Sheet'!D27,0)</f>
        <v>29.49</v>
      </c>
      <c r="F20" s="35">
        <f>IFERROR('Data Sheet'!E27,0)</f>
        <v>19.54</v>
      </c>
      <c r="G20" s="35">
        <f>IFERROR('Data Sheet'!F27,0)</f>
        <v>17.23</v>
      </c>
      <c r="H20" s="35">
        <f>IFERROR('Data Sheet'!G27,0)</f>
        <v>13.34</v>
      </c>
      <c r="I20" s="35">
        <f>IFERROR('Data Sheet'!H27,0)</f>
        <v>14.97</v>
      </c>
      <c r="J20" s="35">
        <f>IFERROR('Data Sheet'!I27,0)</f>
        <v>13.27</v>
      </c>
      <c r="K20" s="35">
        <f>IFERROR('Data Sheet'!J27,0)</f>
        <v>41.66</v>
      </c>
      <c r="L20" s="35">
        <f>IFERROR('Data Sheet'!K27,0)</f>
        <v>29.17</v>
      </c>
      <c r="M20" s="35">
        <f>IFERROR(SUM('Data Sheet'!H46:K46),0)</f>
        <v>29.2</v>
      </c>
    </row>
    <row r="21" spans="2:17" x14ac:dyDescent="0.3">
      <c r="B21" s="38" t="s">
        <v>107</v>
      </c>
      <c r="C21" s="40">
        <f t="shared" ref="C21:M21" si="7">C20/C5</f>
        <v>1.4877665727464242E-2</v>
      </c>
      <c r="D21" s="40">
        <f t="shared" si="7"/>
        <v>7.7701895868362717E-3</v>
      </c>
      <c r="E21" s="40">
        <f t="shared" si="7"/>
        <v>5.8288235224357322E-3</v>
      </c>
      <c r="F21" s="40">
        <f t="shared" si="7"/>
        <v>3.1203988489337301E-3</v>
      </c>
      <c r="G21" s="40">
        <f t="shared" si="7"/>
        <v>2.9655306544304821E-3</v>
      </c>
      <c r="H21" s="40">
        <f t="shared" si="7"/>
        <v>1.9017965847497012E-3</v>
      </c>
      <c r="I21" s="40">
        <f t="shared" si="7"/>
        <v>2.0555704310930775E-3</v>
      </c>
      <c r="J21" s="40">
        <f t="shared" si="7"/>
        <v>1.5743846315382341E-3</v>
      </c>
      <c r="K21" s="40">
        <f t="shared" si="7"/>
        <v>4.2494637168629043E-3</v>
      </c>
      <c r="L21" s="40">
        <f t="shared" si="7"/>
        <v>2.8475538565465434E-3</v>
      </c>
      <c r="M21" s="40">
        <f t="shared" si="7"/>
        <v>2.7839909081721569E-3</v>
      </c>
    </row>
    <row r="23" spans="2:17" x14ac:dyDescent="0.3">
      <c r="B23" s="30" t="s">
        <v>108</v>
      </c>
      <c r="C23" s="35">
        <f>IFERROR('Data Sheet'!B26,0)</f>
        <v>58.13</v>
      </c>
      <c r="D23" s="35">
        <f>IFERROR('Data Sheet'!C26,0)</f>
        <v>63.42</v>
      </c>
      <c r="E23" s="35">
        <f>IFERROR('Data Sheet'!D26,0)</f>
        <v>73.22</v>
      </c>
      <c r="F23" s="35">
        <f>IFERROR('Data Sheet'!E26,0)</f>
        <v>87.21</v>
      </c>
      <c r="G23" s="35">
        <f>IFERROR('Data Sheet'!F26,0)</f>
        <v>107.22</v>
      </c>
      <c r="H23" s="35">
        <f>IFERROR('Data Sheet'!G26,0)</f>
        <v>118.28</v>
      </c>
      <c r="I23" s="35">
        <f>IFERROR('Data Sheet'!H26,0)</f>
        <v>132.06</v>
      </c>
      <c r="J23" s="35">
        <f>IFERROR('Data Sheet'!I26,0)</f>
        <v>150.06</v>
      </c>
      <c r="K23" s="35">
        <f>IFERROR('Data Sheet'!J26,0)</f>
        <v>224.06</v>
      </c>
      <c r="L23" s="35">
        <f>IFERROR('Data Sheet'!K26,0)</f>
        <v>243.65</v>
      </c>
      <c r="M23" s="35">
        <f>IFERROR(SUM('Data Sheet'!H45:K45),0)</f>
        <v>246.20000000000002</v>
      </c>
    </row>
    <row r="24" spans="2:17" x14ac:dyDescent="0.3">
      <c r="B24" s="38" t="s">
        <v>109</v>
      </c>
      <c r="C24" s="40">
        <f t="shared" ref="C24:M24" si="8">C23/C5</f>
        <v>1.6937695039903965E-2</v>
      </c>
      <c r="D24" s="40">
        <f t="shared" si="8"/>
        <v>1.5299143855857074E-2</v>
      </c>
      <c r="E24" s="40">
        <f t="shared" si="8"/>
        <v>1.4472243415149012E-2</v>
      </c>
      <c r="F24" s="40">
        <f t="shared" si="8"/>
        <v>1.3926815947569633E-2</v>
      </c>
      <c r="G24" s="40">
        <f t="shared" si="8"/>
        <v>1.8454103120605705E-2</v>
      </c>
      <c r="H24" s="40">
        <f t="shared" si="8"/>
        <v>1.6862406300164518E-2</v>
      </c>
      <c r="I24" s="40">
        <f t="shared" si="8"/>
        <v>1.8133509093530516E-2</v>
      </c>
      <c r="J24" s="40">
        <f t="shared" si="8"/>
        <v>1.780347835784683E-2</v>
      </c>
      <c r="K24" s="40">
        <f t="shared" si="8"/>
        <v>2.2854892952479652E-2</v>
      </c>
      <c r="L24" s="40">
        <f t="shared" si="8"/>
        <v>2.37849330527105E-2</v>
      </c>
      <c r="M24" s="40">
        <f t="shared" si="8"/>
        <v>2.3473238410684424E-2</v>
      </c>
    </row>
    <row r="25" spans="2:17" x14ac:dyDescent="0.3">
      <c r="F25" s="30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</row>
    <row r="26" spans="2:17" x14ac:dyDescent="0.3">
      <c r="B26" s="52" t="s">
        <v>111</v>
      </c>
      <c r="C26" s="53">
        <f>IFERROR(C17-SUM(C20,C23),0)</f>
        <v>51.759999999999877</v>
      </c>
      <c r="D26" s="53">
        <f t="shared" ref="D26:M26" si="9">IFERROR(D17-SUM(D20,D23),0)</f>
        <v>172.14999999999941</v>
      </c>
      <c r="E26" s="53">
        <f t="shared" si="9"/>
        <v>450.64000000000061</v>
      </c>
      <c r="F26" s="53">
        <f t="shared" si="9"/>
        <v>615.82000000000005</v>
      </c>
      <c r="G26" s="53">
        <f t="shared" si="9"/>
        <v>536.87000000000046</v>
      </c>
      <c r="H26" s="53">
        <f t="shared" si="9"/>
        <v>994.4000000000002</v>
      </c>
      <c r="I26" s="53">
        <f t="shared" si="9"/>
        <v>819.02999999999952</v>
      </c>
      <c r="J26" s="53">
        <f t="shared" si="9"/>
        <v>606.7100000000006</v>
      </c>
      <c r="K26" s="53">
        <f t="shared" si="9"/>
        <v>864.64999999999941</v>
      </c>
      <c r="L26" s="53">
        <f t="shared" si="9"/>
        <v>891.3699999999983</v>
      </c>
      <c r="M26" s="53">
        <f t="shared" si="9"/>
        <v>941.34999999999991</v>
      </c>
      <c r="N26" s="30"/>
      <c r="O26" s="30"/>
      <c r="P26" s="30"/>
      <c r="Q26" s="30"/>
    </row>
    <row r="27" spans="2:17" x14ac:dyDescent="0.3">
      <c r="B27" s="38" t="s">
        <v>112</v>
      </c>
      <c r="C27" s="40">
        <f>C26/C5</f>
        <v>1.5081629025725565E-2</v>
      </c>
      <c r="D27" s="40">
        <f t="shared" ref="D27:M27" si="10">D26/D5</f>
        <v>4.1528659961932925E-2</v>
      </c>
      <c r="E27" s="40">
        <f t="shared" si="10"/>
        <v>8.9070906481873255E-2</v>
      </c>
      <c r="F27" s="40">
        <f t="shared" si="10"/>
        <v>9.8342068533795804E-2</v>
      </c>
      <c r="G27" s="40">
        <f t="shared" si="10"/>
        <v>9.2403043670580054E-2</v>
      </c>
      <c r="H27" s="40">
        <f t="shared" si="10"/>
        <v>0.14176510673726411</v>
      </c>
      <c r="I27" s="40">
        <f t="shared" si="10"/>
        <v>0.11246318304463342</v>
      </c>
      <c r="J27" s="40">
        <f t="shared" si="10"/>
        <v>7.1981529751361198E-2</v>
      </c>
      <c r="K27" s="40">
        <f t="shared" si="10"/>
        <v>8.8197282832105317E-2</v>
      </c>
      <c r="L27" s="40">
        <f t="shared" si="10"/>
        <v>8.7014881080215545E-2</v>
      </c>
      <c r="M27" s="40">
        <f t="shared" si="10"/>
        <v>8.9750337034515751E-2</v>
      </c>
    </row>
    <row r="29" spans="2:17" x14ac:dyDescent="0.3">
      <c r="B29" s="30" t="s">
        <v>113</v>
      </c>
      <c r="C29" s="35">
        <f>IFERROR('Data Sheet'!B29,0)</f>
        <v>12.27</v>
      </c>
      <c r="D29" s="35">
        <f>IFERROR('Data Sheet'!C29,0)</f>
        <v>77.25</v>
      </c>
      <c r="E29" s="35">
        <f>IFERROR('Data Sheet'!D29,0)</f>
        <v>162.49</v>
      </c>
      <c r="F29" s="35">
        <f>IFERROR('Data Sheet'!E29,0)</f>
        <v>237.11</v>
      </c>
      <c r="G29" s="35">
        <f>IFERROR('Data Sheet'!F29,0)</f>
        <v>153.53</v>
      </c>
      <c r="H29" s="35">
        <f>IFERROR('Data Sheet'!G29,0)</f>
        <v>283.14999999999998</v>
      </c>
      <c r="I29" s="35">
        <f>IFERROR('Data Sheet'!H29,0)</f>
        <v>257.22000000000003</v>
      </c>
      <c r="J29" s="35">
        <f>IFERROR('Data Sheet'!I29,0)</f>
        <v>197.94</v>
      </c>
      <c r="K29" s="35">
        <f>IFERROR('Data Sheet'!J29,0)</f>
        <v>313.39999999999998</v>
      </c>
      <c r="L29" s="35">
        <f>IFERROR('Data Sheet'!K29,0)</f>
        <v>226.95</v>
      </c>
      <c r="M29" s="35">
        <f>IFERROR(SUM('Data Sheet'!H48:K48),0)</f>
        <v>239.69</v>
      </c>
    </row>
    <row r="30" spans="2:17" x14ac:dyDescent="0.3">
      <c r="B30" s="38" t="s">
        <v>114</v>
      </c>
      <c r="C30" s="41">
        <f>C29/C26</f>
        <v>0.23705564142194802</v>
      </c>
      <c r="D30" s="41">
        <f t="shared" ref="D30:M30" si="11">D29/D26</f>
        <v>0.44873656694743108</v>
      </c>
      <c r="E30" s="41">
        <f t="shared" si="11"/>
        <v>0.36057606958991612</v>
      </c>
      <c r="F30" s="41">
        <f t="shared" si="11"/>
        <v>0.38503134032671882</v>
      </c>
      <c r="G30" s="41">
        <f t="shared" si="11"/>
        <v>0.28597239555199561</v>
      </c>
      <c r="H30" s="41">
        <f t="shared" si="11"/>
        <v>0.28474456958970223</v>
      </c>
      <c r="I30" s="41">
        <f t="shared" si="11"/>
        <v>0.31405443024065072</v>
      </c>
      <c r="J30" s="41">
        <f t="shared" si="11"/>
        <v>0.32625142160175341</v>
      </c>
      <c r="K30" s="41">
        <f t="shared" si="11"/>
        <v>0.36245879835771722</v>
      </c>
      <c r="L30" s="41">
        <f t="shared" si="11"/>
        <v>0.25460807521007034</v>
      </c>
      <c r="M30" s="41">
        <f t="shared" si="11"/>
        <v>0.25462367875922881</v>
      </c>
    </row>
    <row r="32" spans="2:17" x14ac:dyDescent="0.3">
      <c r="B32" s="52" t="s">
        <v>115</v>
      </c>
      <c r="C32" s="53">
        <f>C26-C29</f>
        <v>39.489999999999881</v>
      </c>
      <c r="D32" s="53">
        <f t="shared" ref="D32:M32" si="12">D26-D29</f>
        <v>94.899999999999409</v>
      </c>
      <c r="E32" s="53">
        <f t="shared" si="12"/>
        <v>288.1500000000006</v>
      </c>
      <c r="F32" s="53">
        <f t="shared" si="12"/>
        <v>378.71000000000004</v>
      </c>
      <c r="G32" s="53">
        <f t="shared" si="12"/>
        <v>383.34000000000049</v>
      </c>
      <c r="H32" s="53">
        <f t="shared" si="12"/>
        <v>711.25000000000023</v>
      </c>
      <c r="I32" s="53">
        <f t="shared" si="12"/>
        <v>561.80999999999949</v>
      </c>
      <c r="J32" s="53">
        <f t="shared" si="12"/>
        <v>408.77000000000061</v>
      </c>
      <c r="K32" s="53">
        <f t="shared" si="12"/>
        <v>551.24999999999943</v>
      </c>
      <c r="L32" s="53">
        <f t="shared" si="12"/>
        <v>664.41999999999825</v>
      </c>
      <c r="M32" s="53">
        <f t="shared" si="12"/>
        <v>701.65999999999985</v>
      </c>
    </row>
    <row r="33" spans="1:13" x14ac:dyDescent="0.3">
      <c r="B33" s="38" t="s">
        <v>116</v>
      </c>
      <c r="C33" s="40">
        <f>C32/C5</f>
        <v>1.1506443783344323E-2</v>
      </c>
      <c r="D33" s="40">
        <f t="shared" ref="D33:M33" si="13">D32/D5</f>
        <v>2.2893231660687911E-2</v>
      </c>
      <c r="E33" s="40">
        <f t="shared" si="13"/>
        <v>5.6954069107828409E-2</v>
      </c>
      <c r="F33" s="40">
        <f t="shared" si="13"/>
        <v>6.0477290075726366E-2</v>
      </c>
      <c r="G33" s="40">
        <f t="shared" si="13"/>
        <v>6.5978323915808615E-2</v>
      </c>
      <c r="H33" s="40">
        <f t="shared" si="13"/>
        <v>0.10139826243652365</v>
      </c>
      <c r="I33" s="40">
        <f t="shared" si="13"/>
        <v>7.7143622170501053E-2</v>
      </c>
      <c r="J33" s="40">
        <f t="shared" si="13"/>
        <v>4.8497453340910698E-2</v>
      </c>
      <c r="K33" s="40">
        <f t="shared" si="13"/>
        <v>5.6229401678364703E-2</v>
      </c>
      <c r="L33" s="40">
        <f t="shared" si="13"/>
        <v>6.4860189693748682E-2</v>
      </c>
      <c r="M33" s="40">
        <f t="shared" si="13"/>
        <v>6.689777604890669E-2</v>
      </c>
    </row>
    <row r="35" spans="1:13" x14ac:dyDescent="0.3">
      <c r="B35" s="30" t="s">
        <v>117</v>
      </c>
      <c r="C35" s="35">
        <f>IFERROR('Data Sheet'!B93,0)</f>
        <v>12.26</v>
      </c>
      <c r="D35" s="35">
        <f>IFERROR('Data Sheet'!C93,0)</f>
        <v>12.26</v>
      </c>
      <c r="E35" s="35">
        <f>IFERROR('Data Sheet'!D93,0)</f>
        <v>12.26</v>
      </c>
      <c r="F35" s="35">
        <f>IFERROR('Data Sheet'!E93,0)</f>
        <v>12.26</v>
      </c>
      <c r="G35" s="35">
        <f>IFERROR('Data Sheet'!F93,0)</f>
        <v>12.26</v>
      </c>
      <c r="H35" s="35">
        <f>IFERROR('Data Sheet'!G93,0)</f>
        <v>13.48</v>
      </c>
      <c r="I35" s="35">
        <f>IFERROR('Data Sheet'!H93,0)</f>
        <v>13.19</v>
      </c>
      <c r="J35" s="35">
        <f>IFERROR('Data Sheet'!I93,0)</f>
        <v>13.19</v>
      </c>
      <c r="K35" s="35">
        <f>IFERROR('Data Sheet'!J93,0)</f>
        <v>11.05</v>
      </c>
      <c r="L35" s="35">
        <f>IFERROR('Data Sheet'!K93,0)</f>
        <v>11.19</v>
      </c>
    </row>
    <row r="37" spans="1:13" x14ac:dyDescent="0.3">
      <c r="B37" s="30" t="s">
        <v>57</v>
      </c>
      <c r="C37" s="35">
        <f>IFERROR(C32/C35,0)</f>
        <v>3.2210440456769889</v>
      </c>
      <c r="D37" s="35">
        <f t="shared" ref="D37:M37" si="14">IFERROR(D32/D35,0)</f>
        <v>7.7406199021206694</v>
      </c>
      <c r="E37" s="35">
        <f t="shared" si="14"/>
        <v>23.503262642740669</v>
      </c>
      <c r="F37" s="35">
        <f t="shared" si="14"/>
        <v>30.889885807504083</v>
      </c>
      <c r="G37" s="35">
        <f t="shared" si="14"/>
        <v>31.267536704730873</v>
      </c>
      <c r="H37" s="35">
        <f t="shared" si="14"/>
        <v>52.763353115727021</v>
      </c>
      <c r="I37" s="35">
        <f t="shared" si="14"/>
        <v>42.593631539044694</v>
      </c>
      <c r="J37" s="35">
        <f t="shared" si="14"/>
        <v>30.990902198635379</v>
      </c>
      <c r="K37" s="35">
        <f t="shared" si="14"/>
        <v>49.886877828054246</v>
      </c>
      <c r="L37" s="35">
        <f t="shared" si="14"/>
        <v>59.376228775692432</v>
      </c>
      <c r="M37" s="35">
        <f t="shared" si="14"/>
        <v>0</v>
      </c>
    </row>
    <row r="38" spans="1:13" x14ac:dyDescent="0.3">
      <c r="B38" s="38" t="s">
        <v>119</v>
      </c>
      <c r="C38" s="46"/>
      <c r="D38" s="40">
        <f>D37/C37-1</f>
        <v>1.4031400354520054</v>
      </c>
      <c r="E38" s="40">
        <f t="shared" ref="E38:M38" si="15">E37/D37-1</f>
        <v>2.0363540569020273</v>
      </c>
      <c r="F38" s="40">
        <f t="shared" si="15"/>
        <v>0.31428075655040533</v>
      </c>
      <c r="G38" s="40">
        <f t="shared" si="15"/>
        <v>1.2225713606718758E-2</v>
      </c>
      <c r="H38" s="40">
        <f t="shared" si="15"/>
        <v>0.68748032868683784</v>
      </c>
      <c r="I38" s="40">
        <f t="shared" si="15"/>
        <v>-0.19274213968882636</v>
      </c>
      <c r="J38" s="40">
        <f t="shared" si="15"/>
        <v>-0.2724052615652961</v>
      </c>
      <c r="K38" s="40">
        <f t="shared" si="15"/>
        <v>0.60972654194787901</v>
      </c>
      <c r="L38" s="40">
        <f t="shared" si="15"/>
        <v>0.19021737500481106</v>
      </c>
      <c r="M38" s="40">
        <f t="shared" si="15"/>
        <v>-1</v>
      </c>
    </row>
    <row r="40" spans="1:13" x14ac:dyDescent="0.3">
      <c r="B40" s="30" t="s">
        <v>118</v>
      </c>
      <c r="C40" s="35">
        <f>IFERROR('Data Sheet'!B31/'HISTORICAL FS'!C35,0)</f>
        <v>1.1998368678629692</v>
      </c>
      <c r="D40" s="35">
        <f>IFERROR('Data Sheet'!C31/'HISTORICAL FS'!D35,0)</f>
        <v>1.5</v>
      </c>
      <c r="E40" s="35">
        <f>IFERROR('Data Sheet'!D31/'HISTORICAL FS'!E35,0)</f>
        <v>2</v>
      </c>
      <c r="F40" s="35">
        <f>IFERROR('Data Sheet'!E31/'HISTORICAL FS'!F35,0)</f>
        <v>2.4991843393148452</v>
      </c>
      <c r="G40" s="35">
        <f>IFERROR('Data Sheet'!F31/'HISTORICAL FS'!G35,0)</f>
        <v>2.4991843393148452</v>
      </c>
      <c r="H40" s="35">
        <f>IFERROR('Data Sheet'!G31/'HISTORICAL FS'!H35,0)</f>
        <v>7.5014836795252222</v>
      </c>
      <c r="I40" s="35">
        <f>IFERROR('Data Sheet'!H31/'HISTORICAL FS'!I35,0)</f>
        <v>7.0022744503411678</v>
      </c>
      <c r="J40" s="35">
        <f>IFERROR('Data Sheet'!I31/'HISTORICAL FS'!J35,0)</f>
        <v>7.0022744503411678</v>
      </c>
      <c r="K40" s="35">
        <f>IFERROR('Data Sheet'!J31/'HISTORICAL FS'!K35,0)</f>
        <v>18</v>
      </c>
      <c r="L40" s="35">
        <f>IFERROR('Data Sheet'!K31/'HISTORICAL FS'!L35,0)</f>
        <v>27.994638069705093</v>
      </c>
      <c r="M40" s="35">
        <f>IFERROR('Data Sheet'!L31/'HISTORICAL FS'!M35,0)</f>
        <v>0</v>
      </c>
    </row>
    <row r="41" spans="1:13" x14ac:dyDescent="0.3">
      <c r="B41" s="38" t="s">
        <v>120</v>
      </c>
      <c r="C41" s="40">
        <f>IFERROR(C40/C37,0)</f>
        <v>0.37249936692833746</v>
      </c>
      <c r="D41" s="40">
        <f t="shared" ref="D41:M41" si="16">IFERROR(D40/D37,0)</f>
        <v>0.19378292939936897</v>
      </c>
      <c r="E41" s="40">
        <f t="shared" si="16"/>
        <v>8.5094568800971535E-2</v>
      </c>
      <c r="F41" s="40">
        <f t="shared" si="16"/>
        <v>8.0906234321776557E-2</v>
      </c>
      <c r="G41" s="40">
        <f t="shared" si="16"/>
        <v>7.9929044712265779E-2</v>
      </c>
      <c r="H41" s="40">
        <f t="shared" si="16"/>
        <v>0.1421722319859402</v>
      </c>
      <c r="I41" s="40">
        <f t="shared" si="16"/>
        <v>0.16439721614068828</v>
      </c>
      <c r="J41" s="40">
        <f t="shared" si="16"/>
        <v>0.22594613107615494</v>
      </c>
      <c r="K41" s="40">
        <f t="shared" si="16"/>
        <v>0.36081632653061263</v>
      </c>
      <c r="L41" s="40">
        <f t="shared" si="16"/>
        <v>0.47147888383853703</v>
      </c>
      <c r="M41" s="40">
        <f t="shared" si="16"/>
        <v>0</v>
      </c>
    </row>
    <row r="42" spans="1:13" x14ac:dyDescent="0.3">
      <c r="B42" s="38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</row>
    <row r="43" spans="1:13" x14ac:dyDescent="0.3">
      <c r="B43" s="45" t="s">
        <v>121</v>
      </c>
      <c r="C43" s="45">
        <f>IFERROR(1-C41,0)</f>
        <v>0.62750063307166259</v>
      </c>
      <c r="D43" s="45">
        <f t="shared" ref="D43:M43" si="17">IFERROR(1-D41,0)</f>
        <v>0.80621707060063108</v>
      </c>
      <c r="E43" s="45">
        <f t="shared" si="17"/>
        <v>0.91490543119902845</v>
      </c>
      <c r="F43" s="45">
        <f t="shared" si="17"/>
        <v>0.91909376567822343</v>
      </c>
      <c r="G43" s="45">
        <f t="shared" si="17"/>
        <v>0.92007095528773419</v>
      </c>
      <c r="H43" s="45">
        <f t="shared" si="17"/>
        <v>0.8578277680140598</v>
      </c>
      <c r="I43" s="45">
        <f t="shared" si="17"/>
        <v>0.83560278385931175</v>
      </c>
      <c r="J43" s="45">
        <f t="shared" si="17"/>
        <v>0.77405386892384509</v>
      </c>
      <c r="K43" s="45">
        <f t="shared" si="17"/>
        <v>0.63918367346938743</v>
      </c>
      <c r="L43" s="45">
        <f t="shared" si="17"/>
        <v>0.52852111616146291</v>
      </c>
      <c r="M43" s="45">
        <f t="shared" si="17"/>
        <v>1</v>
      </c>
    </row>
    <row r="45" spans="1:13" x14ac:dyDescent="0.3">
      <c r="A45" s="25" t="s">
        <v>95</v>
      </c>
      <c r="B45" s="42" t="s">
        <v>122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</row>
    <row r="46" spans="1:13" x14ac:dyDescent="0.3">
      <c r="B46" s="25" t="s">
        <v>123</v>
      </c>
      <c r="C46" s="47">
        <f>IFERROR('Data Sheet'!B57,0)</f>
        <v>122.58</v>
      </c>
      <c r="D46" s="47">
        <f>IFERROR('Data Sheet'!C57,0)</f>
        <v>122.58</v>
      </c>
      <c r="E46" s="47">
        <f>IFERROR('Data Sheet'!D57,0)</f>
        <v>122.58</v>
      </c>
      <c r="F46" s="47">
        <f>IFERROR('Data Sheet'!E57,0)</f>
        <v>122.58</v>
      </c>
      <c r="G46" s="47">
        <f>IFERROR('Data Sheet'!F57,0)</f>
        <v>122.58</v>
      </c>
      <c r="H46" s="47">
        <f>IFERROR('Data Sheet'!G57,0)</f>
        <v>134.83000000000001</v>
      </c>
      <c r="I46" s="47">
        <f>IFERROR('Data Sheet'!H57,0)</f>
        <v>131.94</v>
      </c>
      <c r="J46" s="47">
        <f>IFERROR('Data Sheet'!I57,0)</f>
        <v>131.94</v>
      </c>
      <c r="K46" s="47">
        <f>IFERROR('Data Sheet'!J57,0)</f>
        <v>110.5</v>
      </c>
      <c r="L46" s="47">
        <f>IFERROR('Data Sheet'!K57,0)</f>
        <v>111.88</v>
      </c>
      <c r="M46" s="47">
        <f>IFERROR('Data Sheet'!L57,0)</f>
        <v>0</v>
      </c>
    </row>
    <row r="47" spans="1:13" x14ac:dyDescent="0.3">
      <c r="B47" s="25" t="s">
        <v>124</v>
      </c>
      <c r="C47" s="47">
        <f>IFERROR('Data Sheet'!B58,0)</f>
        <v>1343.9</v>
      </c>
      <c r="D47" s="47">
        <f>IFERROR('Data Sheet'!C58,0)</f>
        <v>1498.35</v>
      </c>
      <c r="E47" s="47">
        <f>IFERROR('Data Sheet'!D58,0)</f>
        <v>2092.56</v>
      </c>
      <c r="F47" s="47">
        <f>IFERROR('Data Sheet'!E58,0)</f>
        <v>2550.91</v>
      </c>
      <c r="G47" s="47">
        <f>IFERROR('Data Sheet'!F58,0)</f>
        <v>2994.82</v>
      </c>
      <c r="H47" s="47">
        <f>IFERROR('Data Sheet'!G58,0)</f>
        <v>4891.3</v>
      </c>
      <c r="I47" s="47">
        <f>IFERROR('Data Sheet'!H58,0)</f>
        <v>7467.96</v>
      </c>
      <c r="J47" s="47">
        <f>IFERROR('Data Sheet'!I58,0)</f>
        <v>8054.77</v>
      </c>
      <c r="K47" s="47">
        <f>IFERROR('Data Sheet'!J58,0)</f>
        <v>9278.01</v>
      </c>
      <c r="L47" s="47">
        <f>IFERROR('Data Sheet'!K58,0)</f>
        <v>10254.92</v>
      </c>
      <c r="M47" s="47">
        <f>IFERROR('Data Sheet'!L58,0)</f>
        <v>0</v>
      </c>
    </row>
    <row r="48" spans="1:13" x14ac:dyDescent="0.3">
      <c r="B48" s="25" t="s">
        <v>125</v>
      </c>
      <c r="C48" s="47">
        <f>IFERROR('Data Sheet'!B59,0)</f>
        <v>368.12</v>
      </c>
      <c r="D48" s="47">
        <f>IFERROR('Data Sheet'!C59,0)</f>
        <v>265.43</v>
      </c>
      <c r="E48" s="47">
        <f>IFERROR('Data Sheet'!D59,0)</f>
        <v>51.09</v>
      </c>
      <c r="F48" s="47">
        <f>IFERROR('Data Sheet'!E59,0)</f>
        <v>280.95999999999998</v>
      </c>
      <c r="G48" s="47">
        <f>IFERROR('Data Sheet'!F59,0)</f>
        <v>47.67</v>
      </c>
      <c r="H48" s="47">
        <f>IFERROR('Data Sheet'!G59,0)</f>
        <v>60.61</v>
      </c>
      <c r="I48" s="47">
        <f>IFERROR('Data Sheet'!H59,0)</f>
        <v>51.95</v>
      </c>
      <c r="J48" s="47">
        <f>IFERROR('Data Sheet'!I59,0)</f>
        <v>57.3</v>
      </c>
      <c r="K48" s="47">
        <f>IFERROR('Data Sheet'!J59,0)</f>
        <v>448.46</v>
      </c>
      <c r="L48" s="47">
        <f>IFERROR('Data Sheet'!K59,0)</f>
        <v>105.18</v>
      </c>
      <c r="M48" s="47">
        <f>IFERROR('Data Sheet'!L59,0)</f>
        <v>0</v>
      </c>
    </row>
    <row r="49" spans="2:13" x14ac:dyDescent="0.3">
      <c r="B49" s="25" t="s">
        <v>72</v>
      </c>
      <c r="C49" s="47">
        <f>IFERROR('Data Sheet'!B60,0)</f>
        <v>1133.58</v>
      </c>
      <c r="D49" s="47">
        <f>IFERROR('Data Sheet'!C60,0)</f>
        <v>1312.86</v>
      </c>
      <c r="E49" s="47">
        <f>IFERROR('Data Sheet'!D60,0)</f>
        <v>1706.3</v>
      </c>
      <c r="F49" s="47">
        <f>IFERROR('Data Sheet'!E60,0)</f>
        <v>1752.52</v>
      </c>
      <c r="G49" s="47">
        <f>IFERROR('Data Sheet'!F60,0)</f>
        <v>1848.89</v>
      </c>
      <c r="H49" s="47">
        <f>IFERROR('Data Sheet'!G60,0)</f>
        <v>1791.43</v>
      </c>
      <c r="I49" s="47">
        <f>IFERROR('Data Sheet'!H60,0)</f>
        <v>1455.89</v>
      </c>
      <c r="J49" s="47">
        <f>IFERROR('Data Sheet'!I60,0)</f>
        <v>1840.81</v>
      </c>
      <c r="K49" s="47">
        <f>IFERROR('Data Sheet'!J60,0)</f>
        <v>2563.39</v>
      </c>
      <c r="L49" s="47">
        <f>IFERROR('Data Sheet'!K60,0)</f>
        <v>2622.71</v>
      </c>
      <c r="M49" s="47">
        <f>IFERROR('Data Sheet'!L60,0)</f>
        <v>0</v>
      </c>
    </row>
    <row r="50" spans="2:13" x14ac:dyDescent="0.3">
      <c r="B50" s="52" t="s">
        <v>126</v>
      </c>
      <c r="C50" s="53">
        <f>IFERROR('Data Sheet'!B61,0)</f>
        <v>2968.18</v>
      </c>
      <c r="D50" s="53">
        <f>IFERROR('Data Sheet'!C61,0)</f>
        <v>3199.22</v>
      </c>
      <c r="E50" s="53">
        <f>IFERROR('Data Sheet'!D61,0)</f>
        <v>3972.53</v>
      </c>
      <c r="F50" s="53">
        <f>IFERROR('Data Sheet'!E61,0)</f>
        <v>4706.97</v>
      </c>
      <c r="G50" s="53">
        <f>IFERROR('Data Sheet'!F61,0)</f>
        <v>5013.96</v>
      </c>
      <c r="H50" s="53">
        <f>IFERROR('Data Sheet'!G61,0)</f>
        <v>6878.17</v>
      </c>
      <c r="I50" s="53">
        <f>IFERROR('Data Sheet'!H61,0)</f>
        <v>9107.74</v>
      </c>
      <c r="J50" s="53">
        <f>IFERROR('Data Sheet'!I61,0)</f>
        <v>10084.82</v>
      </c>
      <c r="K50" s="53">
        <f>IFERROR('Data Sheet'!J61,0)</f>
        <v>12400.36</v>
      </c>
      <c r="L50" s="53">
        <f>IFERROR('Data Sheet'!K61,0)</f>
        <v>13094.69</v>
      </c>
      <c r="M50" s="53">
        <f>IFERROR('Data Sheet'!L61,0)</f>
        <v>0</v>
      </c>
    </row>
    <row r="51" spans="2:13" x14ac:dyDescent="0.3">
      <c r="D51" s="48"/>
    </row>
    <row r="52" spans="2:13" x14ac:dyDescent="0.3">
      <c r="B52" s="25" t="s">
        <v>127</v>
      </c>
      <c r="C52" s="47">
        <f>IFERROR('Data Sheet'!B62,0)</f>
        <v>1539.02</v>
      </c>
      <c r="D52" s="47">
        <f>IFERROR('Data Sheet'!C62,0)</f>
        <v>1581.14</v>
      </c>
      <c r="E52" s="47">
        <f>IFERROR('Data Sheet'!D62,0)</f>
        <v>1587.8</v>
      </c>
      <c r="F52" s="47">
        <f>IFERROR('Data Sheet'!E62,0)</f>
        <v>1647.23</v>
      </c>
      <c r="G52" s="47">
        <f>IFERROR('Data Sheet'!F62,0)</f>
        <v>1702.41</v>
      </c>
      <c r="H52" s="47">
        <f>IFERROR('Data Sheet'!G62,0)</f>
        <v>1796.23</v>
      </c>
      <c r="I52" s="47">
        <f>IFERROR('Data Sheet'!H62,0)</f>
        <v>1841.05</v>
      </c>
      <c r="J52" s="47">
        <f>IFERROR('Data Sheet'!I62,0)</f>
        <v>1891.15</v>
      </c>
      <c r="K52" s="47">
        <f>IFERROR('Data Sheet'!J62,0)</f>
        <v>2165.2800000000002</v>
      </c>
      <c r="L52" s="47">
        <f>IFERROR('Data Sheet'!K62,0)</f>
        <v>2053.1799999999998</v>
      </c>
      <c r="M52" s="47">
        <f>IFERROR('Data Sheet'!L62,0)</f>
        <v>0</v>
      </c>
    </row>
    <row r="53" spans="2:13" x14ac:dyDescent="0.3">
      <c r="B53" s="25" t="s">
        <v>128</v>
      </c>
      <c r="C53" s="47">
        <f>IFERROR('Data Sheet'!B63,0)</f>
        <v>58.43</v>
      </c>
      <c r="D53" s="47">
        <f>IFERROR('Data Sheet'!C63,0)</f>
        <v>34.700000000000003</v>
      </c>
      <c r="E53" s="47">
        <f>IFERROR('Data Sheet'!D63,0)</f>
        <v>65.72</v>
      </c>
      <c r="F53" s="47">
        <f>IFERROR('Data Sheet'!E63,0)</f>
        <v>79.959999999999994</v>
      </c>
      <c r="G53" s="47">
        <f>IFERROR('Data Sheet'!F63,0)</f>
        <v>124.66</v>
      </c>
      <c r="H53" s="47">
        <f>IFERROR('Data Sheet'!G63,0)</f>
        <v>64.69</v>
      </c>
      <c r="I53" s="47">
        <f>IFERROR('Data Sheet'!H63,0)</f>
        <v>87.8</v>
      </c>
      <c r="J53" s="47">
        <f>IFERROR('Data Sheet'!I63,0)</f>
        <v>113.68</v>
      </c>
      <c r="K53" s="47">
        <f>IFERROR('Data Sheet'!J63,0)</f>
        <v>161.4</v>
      </c>
      <c r="L53" s="47">
        <f>IFERROR('Data Sheet'!K63,0)</f>
        <v>152.54</v>
      </c>
      <c r="M53" s="47">
        <f>IFERROR('Data Sheet'!L63,0)</f>
        <v>0</v>
      </c>
    </row>
    <row r="54" spans="2:13" x14ac:dyDescent="0.3">
      <c r="B54" s="25" t="s">
        <v>129</v>
      </c>
      <c r="C54" s="47">
        <f>IFERROR('Data Sheet'!B64,0)</f>
        <v>63.66</v>
      </c>
      <c r="D54" s="47">
        <f>IFERROR('Data Sheet'!C64,0)</f>
        <v>212.34</v>
      </c>
      <c r="E54" s="47">
        <f>IFERROR('Data Sheet'!D64,0)</f>
        <v>549.04</v>
      </c>
      <c r="F54" s="47">
        <f>IFERROR('Data Sheet'!E64,0)</f>
        <v>490.79</v>
      </c>
      <c r="G54" s="47">
        <f>IFERROR('Data Sheet'!F64,0)</f>
        <v>797.36</v>
      </c>
      <c r="H54" s="47">
        <f>IFERROR('Data Sheet'!G64,0)</f>
        <v>1938.02</v>
      </c>
      <c r="I54" s="47">
        <f>IFERROR('Data Sheet'!H64,0)</f>
        <v>4835.84</v>
      </c>
      <c r="J54" s="47">
        <f>IFERROR('Data Sheet'!I64,0)</f>
        <v>4766.6899999999996</v>
      </c>
      <c r="K54" s="47">
        <f>IFERROR('Data Sheet'!J64,0)</f>
        <v>5019.4799999999996</v>
      </c>
      <c r="L54" s="47">
        <f>IFERROR('Data Sheet'!K64,0)</f>
        <v>5605.21</v>
      </c>
      <c r="M54" s="47">
        <f>IFERROR('Data Sheet'!L64,0)</f>
        <v>0</v>
      </c>
    </row>
    <row r="55" spans="2:13" x14ac:dyDescent="0.3">
      <c r="B55" s="25" t="s">
        <v>130</v>
      </c>
      <c r="C55" s="47">
        <f>IFERROR('Data Sheet'!B65-SUM('Data Sheet'!B67,'Data Sheet'!B68,'Data Sheet'!B69),0)</f>
        <v>222.30999999999995</v>
      </c>
      <c r="D55" s="47">
        <f>IFERROR('Data Sheet'!C65-SUM('Data Sheet'!C67,'Data Sheet'!C68,'Data Sheet'!C69),0)</f>
        <v>220.19000000000005</v>
      </c>
      <c r="E55" s="47">
        <f>IFERROR('Data Sheet'!D65-SUM('Data Sheet'!D67,'Data Sheet'!D68,'Data Sheet'!D69),0)</f>
        <v>294.95000000000005</v>
      </c>
      <c r="F55" s="47">
        <f>IFERROR('Data Sheet'!E65-SUM('Data Sheet'!E67,'Data Sheet'!E68,'Data Sheet'!E69),0)</f>
        <v>457.22</v>
      </c>
      <c r="G55" s="47">
        <f>IFERROR('Data Sheet'!F65-SUM('Data Sheet'!F67,'Data Sheet'!F68,'Data Sheet'!F69),0)</f>
        <v>449.43000000000029</v>
      </c>
      <c r="H55" s="47">
        <f>IFERROR('Data Sheet'!G65-SUM('Data Sheet'!G67,'Data Sheet'!G68,'Data Sheet'!G69),0)</f>
        <v>381.73</v>
      </c>
      <c r="I55" s="47">
        <f>IFERROR('Data Sheet'!H65-SUM('Data Sheet'!H67,'Data Sheet'!H68,'Data Sheet'!H69),0)</f>
        <v>432.03000000000043</v>
      </c>
      <c r="J55" s="47">
        <f>IFERROR('Data Sheet'!I65-SUM('Data Sheet'!I67,'Data Sheet'!I68,'Data Sheet'!I69),0)</f>
        <v>444.07000000000016</v>
      </c>
      <c r="K55" s="47">
        <f>IFERROR('Data Sheet'!J65-SUM('Data Sheet'!J67,'Data Sheet'!J68,'Data Sheet'!J69),0)</f>
        <v>704.30999999999949</v>
      </c>
      <c r="L55" s="47">
        <f>IFERROR('Data Sheet'!K65-SUM('Data Sheet'!K67,'Data Sheet'!K68,'Data Sheet'!K69),0)</f>
        <v>1428.8000000000002</v>
      </c>
      <c r="M55" s="47">
        <f>IFERROR('Data Sheet'!L65-SUM('Data Sheet'!L67,'Data Sheet'!L68,'Data Sheet'!L69),0)</f>
        <v>0</v>
      </c>
    </row>
    <row r="56" spans="2:13" x14ac:dyDescent="0.3">
      <c r="B56" s="52" t="s">
        <v>131</v>
      </c>
      <c r="C56" s="53">
        <f>IFERROR(SUM(C52,C53,C54,C55),0)</f>
        <v>1883.42</v>
      </c>
      <c r="D56" s="53">
        <f t="shared" ref="D56:M56" si="18">IFERROR(SUM(D52,D53,D54,D55),0)</f>
        <v>2048.37</v>
      </c>
      <c r="E56" s="53">
        <f t="shared" si="18"/>
        <v>2497.5100000000002</v>
      </c>
      <c r="F56" s="53">
        <f t="shared" si="18"/>
        <v>2675.2</v>
      </c>
      <c r="G56" s="53">
        <f t="shared" si="18"/>
        <v>3073.8600000000006</v>
      </c>
      <c r="H56" s="53">
        <f t="shared" si="18"/>
        <v>4180.67</v>
      </c>
      <c r="I56" s="53">
        <f t="shared" si="18"/>
        <v>7196.7200000000012</v>
      </c>
      <c r="J56" s="53">
        <f t="shared" si="18"/>
        <v>7215.59</v>
      </c>
      <c r="K56" s="53">
        <f t="shared" si="18"/>
        <v>8050.4699999999993</v>
      </c>
      <c r="L56" s="53">
        <f t="shared" si="18"/>
        <v>9239.73</v>
      </c>
      <c r="M56" s="53">
        <f t="shared" si="18"/>
        <v>0</v>
      </c>
    </row>
    <row r="58" spans="2:13" x14ac:dyDescent="0.3">
      <c r="B58" s="25" t="s">
        <v>78</v>
      </c>
      <c r="C58" s="47">
        <f>IFERROR('Data Sheet'!B67,0)</f>
        <v>374.97</v>
      </c>
      <c r="D58" s="47">
        <f>IFERROR('Data Sheet'!C67,0)</f>
        <v>456.45</v>
      </c>
      <c r="E58" s="47">
        <f>IFERROR('Data Sheet'!D67,0)</f>
        <v>592</v>
      </c>
      <c r="F58" s="47">
        <f>IFERROR('Data Sheet'!E67,0)</f>
        <v>931.05</v>
      </c>
      <c r="G58" s="47">
        <f>IFERROR('Data Sheet'!F67,0)</f>
        <v>731.86</v>
      </c>
      <c r="H58" s="47">
        <f>IFERROR('Data Sheet'!G67,0)</f>
        <v>657.58</v>
      </c>
      <c r="I58" s="47">
        <f>IFERROR('Data Sheet'!H67,0)</f>
        <v>792.62</v>
      </c>
      <c r="J58" s="47">
        <f>IFERROR('Data Sheet'!I67,0)</f>
        <v>1179.6500000000001</v>
      </c>
      <c r="K58" s="47">
        <f>IFERROR('Data Sheet'!J67,0)</f>
        <v>1427.91</v>
      </c>
      <c r="L58" s="47">
        <f>IFERROR('Data Sheet'!K67,0)</f>
        <v>1331.84</v>
      </c>
      <c r="M58" s="47">
        <f>IFERROR('Data Sheet'!L67,0)</f>
        <v>0</v>
      </c>
    </row>
    <row r="59" spans="2:13" x14ac:dyDescent="0.3">
      <c r="B59" s="25" t="s">
        <v>132</v>
      </c>
      <c r="C59" s="47">
        <f>IFERROR('Data Sheet'!B68,0)</f>
        <v>456.76</v>
      </c>
      <c r="D59" s="47">
        <f>IFERROR('Data Sheet'!C68,0)</f>
        <v>450.3</v>
      </c>
      <c r="E59" s="47">
        <f>IFERROR('Data Sheet'!D68,0)</f>
        <v>565.73</v>
      </c>
      <c r="F59" s="47">
        <f>IFERROR('Data Sheet'!E68,0)</f>
        <v>857.42</v>
      </c>
      <c r="G59" s="47">
        <f>IFERROR('Data Sheet'!F68,0)</f>
        <v>883.36</v>
      </c>
      <c r="H59" s="47">
        <f>IFERROR('Data Sheet'!G68,0)</f>
        <v>718.16</v>
      </c>
      <c r="I59" s="47">
        <f>IFERROR('Data Sheet'!H68,0)</f>
        <v>846.56</v>
      </c>
      <c r="J59" s="47">
        <f>IFERROR('Data Sheet'!I68,0)</f>
        <v>1217.68</v>
      </c>
      <c r="K59" s="47">
        <f>IFERROR('Data Sheet'!J68,0)</f>
        <v>1716.16</v>
      </c>
      <c r="L59" s="47">
        <f>IFERROR('Data Sheet'!K68,0)</f>
        <v>1398.99</v>
      </c>
      <c r="M59" s="47">
        <f>IFERROR('Data Sheet'!L68,0)</f>
        <v>0</v>
      </c>
    </row>
    <row r="60" spans="2:13" x14ac:dyDescent="0.3">
      <c r="B60" s="25" t="s">
        <v>134</v>
      </c>
      <c r="C60" s="47">
        <f>IFERROR('Data Sheet'!B69,0)</f>
        <v>253.03</v>
      </c>
      <c r="D60" s="47">
        <f>IFERROR('Data Sheet'!C69,0)</f>
        <v>244.1</v>
      </c>
      <c r="E60" s="47">
        <f>IFERROR('Data Sheet'!D69,0)</f>
        <v>317.29000000000002</v>
      </c>
      <c r="F60" s="47">
        <f>IFERROR('Data Sheet'!E69,0)</f>
        <v>243.3</v>
      </c>
      <c r="G60" s="47">
        <f>IFERROR('Data Sheet'!F69,0)</f>
        <v>324.88</v>
      </c>
      <c r="H60" s="47">
        <f>IFERROR('Data Sheet'!G69,0)</f>
        <v>1321.76</v>
      </c>
      <c r="I60" s="47">
        <f>IFERROR('Data Sheet'!H69,0)</f>
        <v>271.83999999999997</v>
      </c>
      <c r="J60" s="47">
        <f>IFERROR('Data Sheet'!I69,0)</f>
        <v>471.9</v>
      </c>
      <c r="K60" s="47">
        <f>IFERROR('Data Sheet'!J69,0)</f>
        <v>1205.82</v>
      </c>
      <c r="L60" s="47">
        <f>IFERROR('Data Sheet'!K69,0)</f>
        <v>1124.1300000000001</v>
      </c>
      <c r="M60" s="47">
        <f>IFERROR('Data Sheet'!L69,0)</f>
        <v>0</v>
      </c>
    </row>
    <row r="61" spans="2:13" x14ac:dyDescent="0.3">
      <c r="B61" s="52" t="s">
        <v>135</v>
      </c>
      <c r="C61" s="53">
        <f>IFERROR(SUM('Data Sheet'!B67,'Data Sheet'!B68,'Data Sheet'!B69),0)</f>
        <v>1084.76</v>
      </c>
      <c r="D61" s="53">
        <f>IFERROR(SUM('Data Sheet'!C67,'Data Sheet'!C68,'Data Sheet'!C69),0)</f>
        <v>1150.8499999999999</v>
      </c>
      <c r="E61" s="53">
        <f>IFERROR(SUM('Data Sheet'!D67,'Data Sheet'!D68,'Data Sheet'!D69),0)</f>
        <v>1475.02</v>
      </c>
      <c r="F61" s="53">
        <f>IFERROR(SUM('Data Sheet'!E67,'Data Sheet'!E68,'Data Sheet'!E69),0)</f>
        <v>2031.7699999999998</v>
      </c>
      <c r="G61" s="53">
        <f>IFERROR(SUM('Data Sheet'!F67,'Data Sheet'!F68,'Data Sheet'!F69),0)</f>
        <v>1940.1</v>
      </c>
      <c r="H61" s="53">
        <f>IFERROR(SUM('Data Sheet'!G67,'Data Sheet'!G68,'Data Sheet'!G69),0)</f>
        <v>2697.5</v>
      </c>
      <c r="I61" s="53">
        <f>IFERROR(SUM('Data Sheet'!H67,'Data Sheet'!H68,'Data Sheet'!H69),0)</f>
        <v>1911.0199999999998</v>
      </c>
      <c r="J61" s="53">
        <f>IFERROR(SUM('Data Sheet'!I67,'Data Sheet'!I68,'Data Sheet'!I69),0)</f>
        <v>2869.23</v>
      </c>
      <c r="K61" s="53">
        <f>IFERROR(SUM('Data Sheet'!J67,'Data Sheet'!J68,'Data Sheet'!J69),0)</f>
        <v>4349.8900000000003</v>
      </c>
      <c r="L61" s="53">
        <f>IFERROR(SUM('Data Sheet'!K67,'Data Sheet'!K68,'Data Sheet'!K69),0)</f>
        <v>3854.96</v>
      </c>
      <c r="M61" s="53">
        <f>IFERROR(SUM('Data Sheet'!L67,'Data Sheet'!L68,'Data Sheet'!L69),0)</f>
        <v>0</v>
      </c>
    </row>
    <row r="63" spans="2:13" x14ac:dyDescent="0.3">
      <c r="B63" s="52" t="s">
        <v>133</v>
      </c>
      <c r="C63" s="53">
        <f>IFERROR(SUM(C56,C61),0)</f>
        <v>2968.1800000000003</v>
      </c>
      <c r="D63" s="53">
        <f t="shared" ref="D63:M63" si="19">IFERROR(SUM(D56,D61),0)</f>
        <v>3199.22</v>
      </c>
      <c r="E63" s="53">
        <f t="shared" si="19"/>
        <v>3972.53</v>
      </c>
      <c r="F63" s="53">
        <f t="shared" si="19"/>
        <v>4706.9699999999993</v>
      </c>
      <c r="G63" s="53">
        <f t="shared" si="19"/>
        <v>5013.9600000000009</v>
      </c>
      <c r="H63" s="53">
        <f t="shared" si="19"/>
        <v>6878.17</v>
      </c>
      <c r="I63" s="53">
        <f t="shared" si="19"/>
        <v>9107.7400000000016</v>
      </c>
      <c r="J63" s="53">
        <f t="shared" si="19"/>
        <v>10084.82</v>
      </c>
      <c r="K63" s="53">
        <f t="shared" si="19"/>
        <v>12400.36</v>
      </c>
      <c r="L63" s="53">
        <f t="shared" si="19"/>
        <v>13094.689999999999</v>
      </c>
      <c r="M63" s="53">
        <f t="shared" si="19"/>
        <v>0</v>
      </c>
    </row>
    <row r="65" spans="1:13" x14ac:dyDescent="0.3">
      <c r="B65" s="30" t="s">
        <v>136</v>
      </c>
      <c r="C65" s="30" t="b">
        <f>C63=C50</f>
        <v>1</v>
      </c>
      <c r="D65" s="30" t="b">
        <f t="shared" ref="D65:M65" si="20">D63=D50</f>
        <v>1</v>
      </c>
      <c r="E65" s="30" t="b">
        <f t="shared" si="20"/>
        <v>1</v>
      </c>
      <c r="F65" s="30" t="b">
        <f t="shared" si="20"/>
        <v>1</v>
      </c>
      <c r="G65" s="30" t="b">
        <f t="shared" si="20"/>
        <v>1</v>
      </c>
      <c r="H65" s="30" t="b">
        <f t="shared" si="20"/>
        <v>1</v>
      </c>
      <c r="I65" s="30" t="b">
        <f t="shared" si="20"/>
        <v>1</v>
      </c>
      <c r="J65" s="30" t="b">
        <f t="shared" si="20"/>
        <v>1</v>
      </c>
      <c r="K65" s="30" t="b">
        <f t="shared" si="20"/>
        <v>1</v>
      </c>
      <c r="L65" s="30" t="b">
        <f t="shared" si="20"/>
        <v>1</v>
      </c>
      <c r="M65" s="30" t="b">
        <f t="shared" si="20"/>
        <v>1</v>
      </c>
    </row>
    <row r="67" spans="1:13" x14ac:dyDescent="0.3">
      <c r="A67" s="25" t="s">
        <v>137</v>
      </c>
      <c r="B67" s="42" t="s">
        <v>138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</row>
    <row r="68" spans="1:13" x14ac:dyDescent="0.3">
      <c r="B68" s="30" t="s">
        <v>164</v>
      </c>
    </row>
    <row r="69" spans="1:13" x14ac:dyDescent="0.3">
      <c r="B69" s="25" t="s">
        <v>140</v>
      </c>
      <c r="C69" s="47">
        <f>IFERROR(CFS!D3,0)</f>
        <v>178</v>
      </c>
      <c r="D69" s="47">
        <f>IFERROR(CFS!E3,0)</f>
        <v>305</v>
      </c>
      <c r="E69" s="47">
        <f>IFERROR(CFS!F3,0)</f>
        <v>578</v>
      </c>
      <c r="F69" s="47">
        <f>IFERROR(CFS!G3,0)</f>
        <v>727</v>
      </c>
      <c r="G69" s="47">
        <f>IFERROR(CFS!H3,0)</f>
        <v>647</v>
      </c>
      <c r="H69" s="47">
        <f>IFERROR(CFS!I3,0)</f>
        <v>1111</v>
      </c>
      <c r="I69" s="47">
        <f>IFERROR(CFS!J3,0)</f>
        <v>936</v>
      </c>
      <c r="J69" s="47">
        <f>IFERROR(CFS!K3,0)</f>
        <v>815</v>
      </c>
      <c r="K69" s="47">
        <f>IFERROR(CFS!L3,0)</f>
        <v>1375</v>
      </c>
      <c r="L69" s="47">
        <f>IFERROR(CFS!M3,0)</f>
        <v>1416</v>
      </c>
      <c r="M69" s="47">
        <f>IFERROR(CFS!N3,0)</f>
        <v>0</v>
      </c>
    </row>
    <row r="70" spans="1:13" x14ac:dyDescent="0.3">
      <c r="B70" s="25" t="s">
        <v>78</v>
      </c>
      <c r="C70" s="47">
        <f>IFERROR(CFS!D4,0)</f>
        <v>-15</v>
      </c>
      <c r="D70" s="47">
        <f>IFERROR(CFS!E4,0)</f>
        <v>-79</v>
      </c>
      <c r="E70" s="47">
        <f>IFERROR(CFS!F4,0)</f>
        <v>-143</v>
      </c>
      <c r="F70" s="47">
        <f>IFERROR(CFS!G4,0)</f>
        <v>-324</v>
      </c>
      <c r="G70" s="47">
        <f>IFERROR(CFS!H4,0)</f>
        <v>170</v>
      </c>
      <c r="H70" s="47">
        <f>IFERROR(CFS!I4,0)</f>
        <v>47</v>
      </c>
      <c r="I70" s="47">
        <f>IFERROR(CFS!J4,0)</f>
        <v>-142</v>
      </c>
      <c r="J70" s="47">
        <f>IFERROR(CFS!K4,0)</f>
        <v>-384</v>
      </c>
      <c r="K70" s="47">
        <f>IFERROR(CFS!L4,0)</f>
        <v>-51</v>
      </c>
      <c r="L70" s="47">
        <f>IFERROR(CFS!M4,0)</f>
        <v>-179</v>
      </c>
      <c r="M70" s="47">
        <f>IFERROR(CFS!N4,0)</f>
        <v>0</v>
      </c>
    </row>
    <row r="71" spans="1:13" x14ac:dyDescent="0.3">
      <c r="B71" s="25" t="s">
        <v>45</v>
      </c>
      <c r="C71" s="47">
        <f>IFERROR(CFS!D5,0)</f>
        <v>22</v>
      </c>
      <c r="D71" s="47">
        <f>IFERROR(CFS!E5,0)</f>
        <v>-57</v>
      </c>
      <c r="E71" s="47">
        <f>IFERROR(CFS!F5,0)</f>
        <v>-123</v>
      </c>
      <c r="F71" s="47">
        <f>IFERROR(CFS!G5,0)</f>
        <v>-275</v>
      </c>
      <c r="G71" s="47">
        <f>IFERROR(CFS!H5,0)</f>
        <v>0</v>
      </c>
      <c r="H71" s="47">
        <f>IFERROR(CFS!I5,0)</f>
        <v>148</v>
      </c>
      <c r="I71" s="47">
        <f>IFERROR(CFS!J5,0)</f>
        <v>-129</v>
      </c>
      <c r="J71" s="47">
        <f>IFERROR(CFS!K5,0)</f>
        <v>-355</v>
      </c>
      <c r="K71" s="47">
        <f>IFERROR(CFS!L5,0)</f>
        <v>-123</v>
      </c>
      <c r="L71" s="47">
        <f>IFERROR(CFS!M5,0)</f>
        <v>163</v>
      </c>
      <c r="M71" s="47">
        <f>IFERROR(CFS!N5,0)</f>
        <v>0</v>
      </c>
    </row>
    <row r="72" spans="1:13" x14ac:dyDescent="0.3">
      <c r="B72" s="25" t="s">
        <v>141</v>
      </c>
      <c r="C72" s="47">
        <f>IFERROR(CFS!D6,0)</f>
        <v>42</v>
      </c>
      <c r="D72" s="47">
        <f>IFERROR(CFS!E6,0)</f>
        <v>155</v>
      </c>
      <c r="E72" s="47">
        <f>IFERROR(CFS!F6,0)</f>
        <v>347</v>
      </c>
      <c r="F72" s="47">
        <f>IFERROR(CFS!G6,0)</f>
        <v>-1</v>
      </c>
      <c r="G72" s="47">
        <f>IFERROR(CFS!H6,0)</f>
        <v>87</v>
      </c>
      <c r="H72" s="47">
        <f>IFERROR(CFS!I6,0)</f>
        <v>-20</v>
      </c>
      <c r="I72" s="47">
        <f>IFERROR(CFS!J6,0)</f>
        <v>-255</v>
      </c>
      <c r="J72" s="47">
        <f>IFERROR(CFS!K6,0)</f>
        <v>357</v>
      </c>
      <c r="K72" s="47">
        <f>IFERROR(CFS!L6,0)</f>
        <v>-98</v>
      </c>
      <c r="L72" s="47">
        <f>IFERROR(CFS!M6,0)</f>
        <v>81</v>
      </c>
      <c r="M72" s="47">
        <f>IFERROR(CFS!N6,0)</f>
        <v>0</v>
      </c>
    </row>
    <row r="73" spans="1:13" x14ac:dyDescent="0.3">
      <c r="B73" s="25" t="s">
        <v>143</v>
      </c>
      <c r="C73" s="47">
        <f>IFERROR(CFS!D7,0)</f>
        <v>-13</v>
      </c>
      <c r="D73" s="47">
        <f>IFERROR(CFS!E7,0)</f>
        <v>21</v>
      </c>
      <c r="E73" s="47">
        <f>IFERROR(CFS!F7,0)</f>
        <v>-85</v>
      </c>
      <c r="F73" s="47">
        <f>IFERROR(CFS!G7,0)</f>
        <v>-152</v>
      </c>
      <c r="G73" s="47">
        <f>IFERROR(CFS!H7,0)</f>
        <v>86</v>
      </c>
      <c r="H73" s="47">
        <f>IFERROR(CFS!I7,0)</f>
        <v>86</v>
      </c>
      <c r="I73" s="47">
        <f>IFERROR(CFS!J7,0)</f>
        <v>-116</v>
      </c>
      <c r="J73" s="47">
        <f>IFERROR(CFS!K7,0)</f>
        <v>-10</v>
      </c>
      <c r="K73" s="47">
        <f>IFERROR(CFS!L7,0)</f>
        <v>-65</v>
      </c>
      <c r="L73" s="47">
        <f>IFERROR(CFS!M7,0)</f>
        <v>85</v>
      </c>
      <c r="M73" s="47">
        <f>IFERROR(CFS!N7,0)</f>
        <v>0</v>
      </c>
    </row>
    <row r="74" spans="1:13" x14ac:dyDescent="0.3">
      <c r="B74" s="25" t="s">
        <v>144</v>
      </c>
      <c r="C74" s="47">
        <f>IFERROR(CFS!D8,0)</f>
        <v>36</v>
      </c>
      <c r="D74" s="47">
        <f>IFERROR(CFS!E8,0)</f>
        <v>40</v>
      </c>
      <c r="E74" s="47">
        <f>IFERROR(CFS!F8,0)</f>
        <v>-4</v>
      </c>
      <c r="F74" s="47">
        <f>IFERROR(CFS!G8,0)</f>
        <v>-751</v>
      </c>
      <c r="G74" s="47">
        <f>IFERROR(CFS!H8,0)</f>
        <v>344</v>
      </c>
      <c r="H74" s="47">
        <f>IFERROR(CFS!I8,0)</f>
        <v>261</v>
      </c>
      <c r="I74" s="47">
        <f>IFERROR(CFS!J8,0)</f>
        <v>-641</v>
      </c>
      <c r="J74" s="47">
        <f>IFERROR(CFS!K8,0)</f>
        <v>-392</v>
      </c>
      <c r="K74" s="47">
        <f>IFERROR(CFS!L8,0)</f>
        <v>-338</v>
      </c>
      <c r="L74" s="47">
        <f>IFERROR(CFS!M8,0)</f>
        <v>150</v>
      </c>
      <c r="M74" s="47">
        <f>IFERROR(CFS!N8,0)</f>
        <v>0</v>
      </c>
    </row>
    <row r="75" spans="1:13" x14ac:dyDescent="0.3">
      <c r="B75" s="25" t="s">
        <v>163</v>
      </c>
      <c r="C75" s="84" t="s">
        <v>97</v>
      </c>
      <c r="D75" s="84" t="s">
        <v>97</v>
      </c>
      <c r="E75" s="84" t="s">
        <v>97</v>
      </c>
      <c r="F75" s="84" t="s">
        <v>97</v>
      </c>
      <c r="G75" s="84" t="s">
        <v>97</v>
      </c>
      <c r="H75" s="84" t="s">
        <v>97</v>
      </c>
      <c r="I75" s="84" t="s">
        <v>97</v>
      </c>
      <c r="J75" s="84" t="s">
        <v>97</v>
      </c>
      <c r="K75" s="84" t="s">
        <v>97</v>
      </c>
      <c r="L75" s="84" t="s">
        <v>97</v>
      </c>
      <c r="M75" s="84" t="s">
        <v>97</v>
      </c>
    </row>
    <row r="76" spans="1:13" x14ac:dyDescent="0.3">
      <c r="B76" s="52" t="s">
        <v>165</v>
      </c>
      <c r="C76" s="53">
        <f>SUM(C69:C74)</f>
        <v>250</v>
      </c>
      <c r="D76" s="53">
        <f t="shared" ref="D76:M76" si="21">SUM(D69:D74)</f>
        <v>385</v>
      </c>
      <c r="E76" s="53">
        <f t="shared" si="21"/>
        <v>570</v>
      </c>
      <c r="F76" s="53">
        <f t="shared" si="21"/>
        <v>-776</v>
      </c>
      <c r="G76" s="53">
        <f t="shared" si="21"/>
        <v>1334</v>
      </c>
      <c r="H76" s="53">
        <f t="shared" si="21"/>
        <v>1633</v>
      </c>
      <c r="I76" s="53">
        <f t="shared" si="21"/>
        <v>-347</v>
      </c>
      <c r="J76" s="53">
        <f t="shared" si="21"/>
        <v>31</v>
      </c>
      <c r="K76" s="53">
        <f t="shared" si="21"/>
        <v>700</v>
      </c>
      <c r="L76" s="53">
        <f t="shared" si="21"/>
        <v>1716</v>
      </c>
      <c r="M76" s="53">
        <f t="shared" si="21"/>
        <v>0</v>
      </c>
    </row>
    <row r="77" spans="1:13" x14ac:dyDescent="0.3">
      <c r="C77" s="47"/>
    </row>
    <row r="78" spans="1:13" x14ac:dyDescent="0.3">
      <c r="B78" s="30" t="s">
        <v>166</v>
      </c>
    </row>
    <row r="79" spans="1:13" x14ac:dyDescent="0.3">
      <c r="B79" s="25" t="s">
        <v>167</v>
      </c>
      <c r="C79" s="47">
        <f>IFERROR(CFS!D11,0)</f>
        <v>-54</v>
      </c>
      <c r="D79" s="47">
        <f>IFERROR(CFS!E11,0)</f>
        <v>-78</v>
      </c>
      <c r="E79" s="47">
        <f>IFERROR(CFS!F11,0)</f>
        <v>-115</v>
      </c>
      <c r="F79" s="47">
        <f>IFERROR(CFS!G11,0)</f>
        <v>-150</v>
      </c>
      <c r="G79" s="47">
        <f>IFERROR(CFS!H11,0)</f>
        <v>-195</v>
      </c>
      <c r="H79" s="47">
        <f>IFERROR(CFS!I11,0)</f>
        <v>-123</v>
      </c>
      <c r="I79" s="47">
        <f>IFERROR(CFS!J11,0)</f>
        <v>-186</v>
      </c>
      <c r="J79" s="47">
        <f>IFERROR(CFS!K11,0)</f>
        <v>-219</v>
      </c>
      <c r="K79" s="47">
        <f>IFERROR(CFS!L11,0)</f>
        <v>-283</v>
      </c>
      <c r="L79" s="47">
        <f>IFERROR(CFS!M11,0)</f>
        <v>-247</v>
      </c>
      <c r="M79" s="47">
        <f>IFERROR(CFS!N11,0)</f>
        <v>0</v>
      </c>
    </row>
    <row r="80" spans="1:13" x14ac:dyDescent="0.3">
      <c r="B80" s="25" t="s">
        <v>168</v>
      </c>
      <c r="C80" s="47">
        <f>IFERROR(CFS!D12,0)</f>
        <v>2</v>
      </c>
      <c r="D80" s="47">
        <f>IFERROR(CFS!E12,0)</f>
        <v>13</v>
      </c>
      <c r="E80" s="47">
        <f>IFERROR(CFS!F12,0)</f>
        <v>14</v>
      </c>
      <c r="F80" s="47">
        <f>IFERROR(CFS!G12,0)</f>
        <v>11</v>
      </c>
      <c r="G80" s="47">
        <f>IFERROR(CFS!H12,0)</f>
        <v>5</v>
      </c>
      <c r="H80" s="47">
        <f>IFERROR(CFS!I12,0)</f>
        <v>9</v>
      </c>
      <c r="I80" s="47">
        <f>IFERROR(CFS!J12,0)</f>
        <v>32</v>
      </c>
      <c r="J80" s="47">
        <f>IFERROR(CFS!K12,0)</f>
        <v>5</v>
      </c>
      <c r="K80" s="47">
        <f>IFERROR(CFS!L12,0)</f>
        <v>15</v>
      </c>
      <c r="L80" s="47">
        <f>IFERROR(CFS!M12,0)</f>
        <v>9</v>
      </c>
      <c r="M80" s="47">
        <f>IFERROR(CFS!N12,0)</f>
        <v>0</v>
      </c>
    </row>
    <row r="81" spans="2:13" x14ac:dyDescent="0.3">
      <c r="B81" s="25" t="s">
        <v>169</v>
      </c>
      <c r="C81" s="47">
        <f>IFERROR(CFS!D13,0)</f>
        <v>0</v>
      </c>
      <c r="D81" s="47">
        <f>IFERROR(CFS!E13,0)</f>
        <v>-160</v>
      </c>
      <c r="E81" s="47">
        <f>IFERROR(CFS!F13,0)</f>
        <v>-298</v>
      </c>
      <c r="F81" s="47">
        <f>IFERROR(CFS!G13,0)</f>
        <v>0</v>
      </c>
      <c r="G81" s="47">
        <f>IFERROR(CFS!H13,0)</f>
        <v>-211</v>
      </c>
      <c r="H81" s="47">
        <f>IFERROR(CFS!I13,0)</f>
        <v>-978</v>
      </c>
      <c r="I81" s="47">
        <f>IFERROR(CFS!J13,0)</f>
        <v>-2851</v>
      </c>
      <c r="J81" s="47">
        <f>IFERROR(CFS!K13,0)</f>
        <v>-423</v>
      </c>
      <c r="K81" s="47">
        <f>IFERROR(CFS!L13,0)</f>
        <v>-130</v>
      </c>
      <c r="L81" s="47">
        <f>IFERROR(CFS!M13,0)</f>
        <v>-227</v>
      </c>
      <c r="M81" s="47">
        <f>IFERROR(CFS!N13,0)</f>
        <v>0</v>
      </c>
    </row>
    <row r="82" spans="2:13" x14ac:dyDescent="0.3">
      <c r="B82" s="25" t="s">
        <v>170</v>
      </c>
      <c r="C82" s="47">
        <f>IFERROR(CFS!D14,0)</f>
        <v>0</v>
      </c>
      <c r="D82" s="47">
        <f>IFERROR(CFS!E14,0)</f>
        <v>0</v>
      </c>
      <c r="E82" s="47">
        <f>IFERROR(CFS!F14,0)</f>
        <v>3</v>
      </c>
      <c r="F82" s="47">
        <f>IFERROR(CFS!G14,0)</f>
        <v>178</v>
      </c>
      <c r="G82" s="47">
        <f>IFERROR(CFS!H14,0)</f>
        <v>0</v>
      </c>
      <c r="H82" s="47">
        <f>IFERROR(CFS!I14,0)</f>
        <v>0</v>
      </c>
      <c r="I82" s="47">
        <f>IFERROR(CFS!J14,0)</f>
        <v>31</v>
      </c>
      <c r="J82" s="47">
        <f>IFERROR(CFS!K14,0)</f>
        <v>667</v>
      </c>
      <c r="K82" s="47">
        <f>IFERROR(CFS!L14,0)</f>
        <v>21</v>
      </c>
      <c r="L82" s="47">
        <f>IFERROR(CFS!M14,0)</f>
        <v>25</v>
      </c>
      <c r="M82" s="47">
        <f>IFERROR(CFS!N14,0)</f>
        <v>0</v>
      </c>
    </row>
    <row r="83" spans="2:13" x14ac:dyDescent="0.3">
      <c r="B83" s="25" t="s">
        <v>150</v>
      </c>
      <c r="C83" s="47">
        <f>IFERROR(CFS!D15,0)</f>
        <v>30</v>
      </c>
      <c r="D83" s="47">
        <f>IFERROR(CFS!E15,0)</f>
        <v>29</v>
      </c>
      <c r="E83" s="47">
        <f>IFERROR(CFS!F15,0)</f>
        <v>25</v>
      </c>
      <c r="F83" s="47">
        <f>IFERROR(CFS!G15,0)</f>
        <v>35</v>
      </c>
      <c r="G83" s="47">
        <f>IFERROR(CFS!H15,0)</f>
        <v>43</v>
      </c>
      <c r="H83" s="47">
        <f>IFERROR(CFS!I15,0)</f>
        <v>45</v>
      </c>
      <c r="I83" s="47">
        <f>IFERROR(CFS!J15,0)</f>
        <v>105</v>
      </c>
      <c r="J83" s="47">
        <f>IFERROR(CFS!K15,0)</f>
        <v>11</v>
      </c>
      <c r="K83" s="47">
        <f>IFERROR(CFS!L15,0)</f>
        <v>21</v>
      </c>
      <c r="L83" s="47">
        <f>IFERROR(CFS!M15,0)</f>
        <v>112</v>
      </c>
      <c r="M83" s="47">
        <f>IFERROR(CFS!N15,0)</f>
        <v>0</v>
      </c>
    </row>
    <row r="84" spans="2:13" x14ac:dyDescent="0.3">
      <c r="B84" s="25" t="s">
        <v>151</v>
      </c>
      <c r="C84" s="47">
        <f>IFERROR(CFS!D16,0)</f>
        <v>0</v>
      </c>
      <c r="D84" s="47">
        <f>IFERROR(CFS!E16,0)</f>
        <v>0</v>
      </c>
      <c r="E84" s="47">
        <f>IFERROR(CFS!F16,0)</f>
        <v>0</v>
      </c>
      <c r="F84" s="47">
        <f>IFERROR(CFS!G16,0)</f>
        <v>0</v>
      </c>
      <c r="G84" s="47">
        <f>IFERROR(CFS!H16,0)</f>
        <v>0</v>
      </c>
      <c r="H84" s="47">
        <f>IFERROR(CFS!I16,0)</f>
        <v>0</v>
      </c>
      <c r="I84" s="47">
        <f>IFERROR(CFS!J16,0)</f>
        <v>0</v>
      </c>
      <c r="J84" s="47">
        <f>IFERROR(CFS!K16,0)</f>
        <v>0</v>
      </c>
      <c r="K84" s="47">
        <f>IFERROR(CFS!L16,0)</f>
        <v>0</v>
      </c>
      <c r="L84" s="47">
        <f>IFERROR(CFS!M16,0)</f>
        <v>0</v>
      </c>
      <c r="M84" s="47">
        <f>IFERROR(CFS!N16,0)</f>
        <v>0</v>
      </c>
    </row>
    <row r="85" spans="2:13" x14ac:dyDescent="0.3">
      <c r="B85" s="25" t="s">
        <v>154</v>
      </c>
      <c r="C85" s="47">
        <f>IFERROR(CFS!D19,0)</f>
        <v>-4</v>
      </c>
      <c r="D85" s="47">
        <f>IFERROR(CFS!E19,0)</f>
        <v>56</v>
      </c>
      <c r="E85" s="47">
        <f>IFERROR(CFS!F19,0)</f>
        <v>10</v>
      </c>
      <c r="F85" s="47">
        <f>IFERROR(CFS!G19,0)</f>
        <v>17</v>
      </c>
      <c r="G85" s="47">
        <f>IFERROR(CFS!H19,0)</f>
        <v>-9</v>
      </c>
      <c r="H85" s="47">
        <f>IFERROR(CFS!I19,0)</f>
        <v>-1031</v>
      </c>
      <c r="I85" s="47">
        <f>IFERROR(CFS!J19,0)</f>
        <v>1017</v>
      </c>
      <c r="J85" s="47">
        <f>IFERROR(CFS!K19,0)</f>
        <v>-110</v>
      </c>
      <c r="K85" s="47">
        <f>IFERROR(CFS!L19,0)</f>
        <v>-390</v>
      </c>
      <c r="L85" s="47">
        <f>IFERROR(CFS!M19,0)</f>
        <v>-36</v>
      </c>
      <c r="M85" s="47">
        <f>IFERROR(CFS!N19,0)</f>
        <v>0</v>
      </c>
    </row>
    <row r="86" spans="2:13" x14ac:dyDescent="0.3">
      <c r="B86" s="81" t="s">
        <v>171</v>
      </c>
      <c r="C86" s="53">
        <f>IFERROR(SUM(C79:C85),0)</f>
        <v>-26</v>
      </c>
      <c r="D86" s="53">
        <f t="shared" ref="D86:M86" si="22">IFERROR(SUM(D79:D85),0)</f>
        <v>-140</v>
      </c>
      <c r="E86" s="53">
        <f t="shared" si="22"/>
        <v>-361</v>
      </c>
      <c r="F86" s="53">
        <f t="shared" si="22"/>
        <v>91</v>
      </c>
      <c r="G86" s="53">
        <f t="shared" si="22"/>
        <v>-367</v>
      </c>
      <c r="H86" s="53">
        <f t="shared" si="22"/>
        <v>-2078</v>
      </c>
      <c r="I86" s="53">
        <f t="shared" si="22"/>
        <v>-1852</v>
      </c>
      <c r="J86" s="53">
        <f t="shared" si="22"/>
        <v>-69</v>
      </c>
      <c r="K86" s="53">
        <f t="shared" si="22"/>
        <v>-746</v>
      </c>
      <c r="L86" s="53">
        <f t="shared" si="22"/>
        <v>-364</v>
      </c>
      <c r="M86" s="53">
        <f t="shared" si="22"/>
        <v>0</v>
      </c>
    </row>
    <row r="88" spans="2:13" x14ac:dyDescent="0.3">
      <c r="B88" s="51" t="s">
        <v>172</v>
      </c>
    </row>
    <row r="89" spans="2:13" x14ac:dyDescent="0.3">
      <c r="B89" s="25" t="s">
        <v>156</v>
      </c>
      <c r="C89" s="47">
        <f>IFERROR(CFS!D21,0)</f>
        <v>1</v>
      </c>
      <c r="D89" s="47">
        <f>IFERROR(CFS!E21,0)</f>
        <v>1</v>
      </c>
      <c r="E89" s="47">
        <f>IFERROR(CFS!F21,0)</f>
        <v>0</v>
      </c>
      <c r="F89" s="47">
        <f>IFERROR(CFS!G21,0)</f>
        <v>0</v>
      </c>
      <c r="G89" s="47">
        <f>IFERROR(CFS!H21,0)</f>
        <v>0</v>
      </c>
      <c r="H89" s="47">
        <f>IFERROR(CFS!I21,0)</f>
        <v>1058</v>
      </c>
      <c r="I89" s="47">
        <f>IFERROR(CFS!J21,0)</f>
        <v>1902</v>
      </c>
      <c r="J89" s="47">
        <f>IFERROR(CFS!K21,0)</f>
        <v>21</v>
      </c>
      <c r="K89" s="47">
        <f>IFERROR(CFS!L21,0)</f>
        <v>13</v>
      </c>
      <c r="L89" s="47">
        <f>IFERROR(CFS!M21,0)</f>
        <v>25</v>
      </c>
      <c r="M89" s="47">
        <f>IFERROR(CFS!N21,0)</f>
        <v>0</v>
      </c>
    </row>
    <row r="90" spans="2:13" x14ac:dyDescent="0.3">
      <c r="B90" s="25" t="s">
        <v>157</v>
      </c>
      <c r="C90" s="47">
        <f>IFERROR(CFS!D22,0)</f>
        <v>35</v>
      </c>
      <c r="D90" s="47">
        <f>IFERROR(CFS!E22,0)</f>
        <v>17</v>
      </c>
      <c r="E90" s="47">
        <f>IFERROR(CFS!F22,0)</f>
        <v>0</v>
      </c>
      <c r="F90" s="47">
        <f>IFERROR(CFS!G22,0)</f>
        <v>269</v>
      </c>
      <c r="G90" s="47">
        <f>IFERROR(CFS!H22,0)</f>
        <v>0</v>
      </c>
      <c r="H90" s="47">
        <f>IFERROR(CFS!I22,0)</f>
        <v>0</v>
      </c>
      <c r="I90" s="47">
        <f>IFERROR(CFS!J22,0)</f>
        <v>0</v>
      </c>
      <c r="J90" s="47">
        <f>IFERROR(CFS!K22,0)</f>
        <v>0</v>
      </c>
      <c r="K90" s="47">
        <f>IFERROR(CFS!L22,0)</f>
        <v>145</v>
      </c>
      <c r="L90" s="47">
        <f>IFERROR(CFS!M22,0)</f>
        <v>0</v>
      </c>
      <c r="M90" s="47">
        <f>IFERROR(CFS!N22,0)</f>
        <v>0</v>
      </c>
    </row>
    <row r="91" spans="2:13" x14ac:dyDescent="0.3">
      <c r="B91" s="25" t="s">
        <v>158</v>
      </c>
      <c r="C91" s="47">
        <f>IFERROR(CFS!D23,0)</f>
        <v>-173</v>
      </c>
      <c r="D91" s="47">
        <f>IFERROR(CFS!E23,0)</f>
        <v>-115</v>
      </c>
      <c r="E91" s="47">
        <f>IFERROR(CFS!F23,0)</f>
        <v>-213</v>
      </c>
      <c r="F91" s="47">
        <f>IFERROR(CFS!G23,0)</f>
        <v>-42</v>
      </c>
      <c r="G91" s="47">
        <f>IFERROR(CFS!H23,0)</f>
        <v>-270</v>
      </c>
      <c r="H91" s="47">
        <f>IFERROR(CFS!I23,0)</f>
        <v>-6</v>
      </c>
      <c r="I91" s="47">
        <f>IFERROR(CFS!J23,0)</f>
        <v>0</v>
      </c>
      <c r="J91" s="47">
        <f>IFERROR(CFS!K23,0)</f>
        <v>0</v>
      </c>
      <c r="K91" s="47">
        <f>IFERROR(CFS!L23,0)</f>
        <v>0</v>
      </c>
      <c r="L91" s="47">
        <f>IFERROR(CFS!M23,0)</f>
        <v>-363</v>
      </c>
      <c r="M91" s="47">
        <f>IFERROR(CFS!N23,0)</f>
        <v>0</v>
      </c>
    </row>
    <row r="92" spans="2:13" x14ac:dyDescent="0.3">
      <c r="B92" s="25" t="s">
        <v>159</v>
      </c>
      <c r="C92" s="47">
        <f>IFERROR(CFS!D24,0)</f>
        <v>-45</v>
      </c>
      <c r="D92" s="47">
        <f>IFERROR(CFS!E24,0)</f>
        <v>-28</v>
      </c>
      <c r="E92" s="47">
        <f>IFERROR(CFS!F24,0)</f>
        <v>-21</v>
      </c>
      <c r="F92" s="47">
        <f>IFERROR(CFS!G24,0)</f>
        <v>-13</v>
      </c>
      <c r="G92" s="47">
        <f>IFERROR(CFS!H24,0)</f>
        <v>-9</v>
      </c>
      <c r="H92" s="47">
        <f>IFERROR(CFS!I24,0)</f>
        <v>-8</v>
      </c>
      <c r="I92" s="47">
        <f>IFERROR(CFS!J24,0)</f>
        <v>-10</v>
      </c>
      <c r="J92" s="47">
        <f>IFERROR(CFS!K24,0)</f>
        <v>-8</v>
      </c>
      <c r="K92" s="47">
        <f>IFERROR(CFS!L24,0)</f>
        <v>-36</v>
      </c>
      <c r="L92" s="47">
        <f>IFERROR(CFS!M24,0)</f>
        <v>-26</v>
      </c>
      <c r="M92" s="47">
        <f>IFERROR(CFS!N24,0)</f>
        <v>0</v>
      </c>
    </row>
    <row r="93" spans="2:13" x14ac:dyDescent="0.3">
      <c r="B93" s="25" t="s">
        <v>160</v>
      </c>
      <c r="C93" s="47">
        <f>IFERROR(CFS!D25,0)</f>
        <v>-13</v>
      </c>
      <c r="D93" s="47">
        <f>IFERROR(CFS!E25,0)</f>
        <v>-13</v>
      </c>
      <c r="E93" s="47">
        <f>IFERROR(CFS!F25,0)</f>
        <v>-16</v>
      </c>
      <c r="F93" s="47">
        <f>IFERROR(CFS!G25,0)</f>
        <v>-22</v>
      </c>
      <c r="G93" s="47">
        <f>IFERROR(CFS!H25,0)</f>
        <v>-26</v>
      </c>
      <c r="H93" s="47">
        <f>IFERROR(CFS!I25,0)</f>
        <v>-25</v>
      </c>
      <c r="I93" s="47">
        <f>IFERROR(CFS!J25,0)</f>
        <v>-74</v>
      </c>
      <c r="J93" s="47">
        <f>IFERROR(CFS!K25,0)</f>
        <v>-76</v>
      </c>
      <c r="K93" s="47">
        <f>IFERROR(CFS!L25,0)</f>
        <v>-76</v>
      </c>
      <c r="L93" s="47">
        <f>IFERROR(CFS!M25,0)</f>
        <v>-305</v>
      </c>
      <c r="M93" s="47">
        <f>IFERROR(CFS!N25,0)</f>
        <v>0</v>
      </c>
    </row>
    <row r="94" spans="2:13" x14ac:dyDescent="0.3">
      <c r="B94" s="25" t="s">
        <v>161</v>
      </c>
      <c r="C94" s="47">
        <f>IFERROR(CFS!D26,0)</f>
        <v>0</v>
      </c>
      <c r="D94" s="47">
        <f>IFERROR(CFS!E26,0)</f>
        <v>0</v>
      </c>
      <c r="E94" s="47">
        <f>IFERROR(CFS!F26,0)</f>
        <v>0</v>
      </c>
      <c r="F94" s="47">
        <f>IFERROR(CFS!G26,0)</f>
        <v>0</v>
      </c>
      <c r="G94" s="47">
        <f>IFERROR(CFS!H26,0)</f>
        <v>-3</v>
      </c>
      <c r="H94" s="47">
        <f>IFERROR(CFS!I26,0)</f>
        <v>-5</v>
      </c>
      <c r="I94" s="47">
        <f>IFERROR(CFS!J26,0)</f>
        <v>-6</v>
      </c>
      <c r="J94" s="47">
        <f>IFERROR(CFS!K26,0)</f>
        <v>-7</v>
      </c>
      <c r="K94" s="47">
        <f>IFERROR(CFS!L26,0)</f>
        <v>-26</v>
      </c>
      <c r="L94" s="47">
        <f>IFERROR(CFS!M26,0)</f>
        <v>-30</v>
      </c>
      <c r="M94" s="47">
        <f>IFERROR(CFS!N26,0)</f>
        <v>0</v>
      </c>
    </row>
    <row r="95" spans="2:13" x14ac:dyDescent="0.3">
      <c r="B95" s="25" t="s">
        <v>162</v>
      </c>
      <c r="C95" s="47">
        <f>IFERROR(CFS!D27,0)</f>
        <v>0</v>
      </c>
      <c r="D95" s="47">
        <f>IFERROR(CFS!E27,0)</f>
        <v>0</v>
      </c>
      <c r="E95" s="47">
        <f>IFERROR(CFS!F27,0)</f>
        <v>250</v>
      </c>
      <c r="F95" s="47">
        <f>IFERROR(CFS!G27,0)</f>
        <v>0</v>
      </c>
      <c r="G95" s="47">
        <f>IFERROR(CFS!H27,0)</f>
        <v>0</v>
      </c>
      <c r="H95" s="47">
        <f>IFERROR(CFS!I27,0)</f>
        <v>0</v>
      </c>
      <c r="I95" s="47">
        <f>IFERROR(CFS!J27,0)</f>
        <v>0</v>
      </c>
      <c r="J95" s="47">
        <f>IFERROR(CFS!K27,0)</f>
        <v>0</v>
      </c>
      <c r="K95" s="47">
        <f>IFERROR(CFS!L27,0)</f>
        <v>0</v>
      </c>
      <c r="L95" s="47">
        <f>IFERROR(CFS!M27,0)</f>
        <v>0</v>
      </c>
      <c r="M95" s="47">
        <f>IFERROR(CFS!N27,0)</f>
        <v>0</v>
      </c>
    </row>
    <row r="96" spans="2:13" x14ac:dyDescent="0.3">
      <c r="B96" s="30" t="s">
        <v>173</v>
      </c>
      <c r="C96" s="35">
        <f>IFERROR(SUM(C89:C95),0)</f>
        <v>-195</v>
      </c>
      <c r="D96" s="35">
        <f t="shared" ref="D96:M96" si="23">IFERROR(SUM(D89:D95),0)</f>
        <v>-138</v>
      </c>
      <c r="E96" s="35">
        <f t="shared" si="23"/>
        <v>0</v>
      </c>
      <c r="F96" s="35">
        <f t="shared" si="23"/>
        <v>192</v>
      </c>
      <c r="G96" s="35">
        <f t="shared" si="23"/>
        <v>-308</v>
      </c>
      <c r="H96" s="35">
        <f t="shared" si="23"/>
        <v>1014</v>
      </c>
      <c r="I96" s="35">
        <f t="shared" si="23"/>
        <v>1812</v>
      </c>
      <c r="J96" s="35">
        <f t="shared" si="23"/>
        <v>-70</v>
      </c>
      <c r="K96" s="35">
        <f t="shared" si="23"/>
        <v>20</v>
      </c>
      <c r="L96" s="35">
        <f t="shared" si="23"/>
        <v>-699</v>
      </c>
      <c r="M96" s="35">
        <f t="shared" si="23"/>
        <v>0</v>
      </c>
    </row>
    <row r="98" spans="2:13" x14ac:dyDescent="0.3">
      <c r="B98" s="52" t="s">
        <v>174</v>
      </c>
      <c r="C98" s="53">
        <f>IFERROR(SUM(C76,C86,C96),0)</f>
        <v>29</v>
      </c>
      <c r="D98" s="53">
        <f t="shared" ref="D98:M98" si="24">IFERROR(SUM(D76,D86,D96),0)</f>
        <v>107</v>
      </c>
      <c r="E98" s="53">
        <f t="shared" si="24"/>
        <v>209</v>
      </c>
      <c r="F98" s="53">
        <f t="shared" si="24"/>
        <v>-493</v>
      </c>
      <c r="G98" s="53">
        <f t="shared" si="24"/>
        <v>659</v>
      </c>
      <c r="H98" s="53">
        <f t="shared" si="24"/>
        <v>569</v>
      </c>
      <c r="I98" s="53">
        <f t="shared" si="24"/>
        <v>-387</v>
      </c>
      <c r="J98" s="53">
        <f t="shared" si="24"/>
        <v>-108</v>
      </c>
      <c r="K98" s="53">
        <f t="shared" si="24"/>
        <v>-26</v>
      </c>
      <c r="L98" s="53">
        <f t="shared" si="24"/>
        <v>653</v>
      </c>
      <c r="M98" s="53">
        <f t="shared" si="24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BA141-7975-44C7-B2D8-DE7787C1AE24}">
  <sheetPr>
    <tabColor rgb="FF92D050"/>
  </sheetPr>
  <dimension ref="B2"/>
  <sheetViews>
    <sheetView showGridLines="0" workbookViewId="0">
      <selection activeCell="B2" sqref="B2"/>
    </sheetView>
  </sheetViews>
  <sheetFormatPr defaultRowHeight="14.4" x14ac:dyDescent="0.3"/>
  <cols>
    <col min="1" max="1" width="1.88671875" customWidth="1"/>
  </cols>
  <sheetData>
    <row r="2" spans="2:2" x14ac:dyDescent="0.3">
      <c r="B2" s="2" t="s">
        <v>283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EDD81-41A7-4C1A-B438-086165115297}">
  <sheetPr>
    <tabColor rgb="FF92D050"/>
  </sheetPr>
  <dimension ref="A2:M39"/>
  <sheetViews>
    <sheetView showGridLines="0" zoomScaleNormal="100" workbookViewId="0">
      <pane ySplit="2" topLeftCell="A28" activePane="bottomLeft" state="frozen"/>
      <selection pane="bottomLeft" activeCell="O6" sqref="O6"/>
    </sheetView>
  </sheetViews>
  <sheetFormatPr defaultRowHeight="14.4" x14ac:dyDescent="0.3"/>
  <cols>
    <col min="1" max="1" width="1.88671875" customWidth="1"/>
    <col min="2" max="2" width="16.88671875" customWidth="1"/>
    <col min="3" max="3" width="11.6640625" customWidth="1"/>
    <col min="4" max="4" width="9.5546875" bestFit="1" customWidth="1"/>
    <col min="5" max="5" width="10.6640625" customWidth="1"/>
    <col min="6" max="6" width="9.21875" bestFit="1" customWidth="1"/>
    <col min="7" max="7" width="10.33203125" customWidth="1"/>
    <col min="8" max="8" width="10.88671875" customWidth="1"/>
    <col min="9" max="9" width="9.21875" customWidth="1"/>
    <col min="10" max="10" width="9.77734375" bestFit="1" customWidth="1"/>
    <col min="11" max="11" width="9.5546875" bestFit="1" customWidth="1"/>
  </cols>
  <sheetData>
    <row r="2" spans="2:13" ht="15.6" x14ac:dyDescent="0.3">
      <c r="B2" s="92" t="s">
        <v>238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</row>
    <row r="4" spans="2:13" x14ac:dyDescent="0.3">
      <c r="B4" s="93" t="s">
        <v>239</v>
      </c>
    </row>
    <row r="6" spans="2:13" x14ac:dyDescent="0.3">
      <c r="B6" t="s">
        <v>240</v>
      </c>
    </row>
    <row r="7" spans="2:13" x14ac:dyDescent="0.3">
      <c r="B7" s="94"/>
      <c r="C7" s="94"/>
      <c r="D7" s="94"/>
      <c r="E7" s="94"/>
      <c r="F7" s="94"/>
      <c r="G7" s="94" t="s">
        <v>244</v>
      </c>
      <c r="H7" s="94" t="s">
        <v>244</v>
      </c>
      <c r="I7" s="94" t="s">
        <v>247</v>
      </c>
      <c r="J7" s="94" t="s">
        <v>248</v>
      </c>
    </row>
    <row r="8" spans="2:13" ht="15" x14ac:dyDescent="0.3">
      <c r="B8" s="95" t="s">
        <v>256</v>
      </c>
      <c r="C8" s="95" t="s">
        <v>257</v>
      </c>
      <c r="D8" s="95" t="s">
        <v>241</v>
      </c>
      <c r="E8" s="95" t="s">
        <v>242</v>
      </c>
      <c r="F8" s="95" t="s">
        <v>243</v>
      </c>
      <c r="G8" s="96" t="s">
        <v>245</v>
      </c>
      <c r="H8" s="96" t="s">
        <v>246</v>
      </c>
      <c r="I8" s="96" t="s">
        <v>249</v>
      </c>
      <c r="J8" s="96" t="s">
        <v>250</v>
      </c>
      <c r="K8" s="97"/>
    </row>
    <row r="9" spans="2:13" x14ac:dyDescent="0.3">
      <c r="G9" s="97"/>
      <c r="H9" s="97"/>
      <c r="I9" s="97"/>
      <c r="J9" s="97"/>
      <c r="K9" s="97"/>
    </row>
    <row r="10" spans="2:13" x14ac:dyDescent="0.3">
      <c r="B10" t="s">
        <v>251</v>
      </c>
      <c r="C10" t="s">
        <v>258</v>
      </c>
      <c r="D10" s="98">
        <v>1139</v>
      </c>
      <c r="E10" s="98">
        <v>611503.9</v>
      </c>
      <c r="F10" s="107">
        <v>0.3</v>
      </c>
      <c r="G10" s="99">
        <f>D10/E10</f>
        <v>1.8626209906429051E-3</v>
      </c>
      <c r="H10" s="99">
        <f>D10/(D10+E10)</f>
        <v>1.8591580837711494E-3</v>
      </c>
      <c r="I10" s="113">
        <v>1</v>
      </c>
      <c r="J10" s="100">
        <f>I10/(1+(1-F10)*G10)</f>
        <v>0.99869786307784481</v>
      </c>
    </row>
    <row r="11" spans="2:13" x14ac:dyDescent="0.3">
      <c r="B11" t="s">
        <v>252</v>
      </c>
      <c r="C11" t="s">
        <v>258</v>
      </c>
      <c r="D11">
        <v>279.89999999999998</v>
      </c>
      <c r="E11" s="98">
        <v>182975</v>
      </c>
      <c r="F11" s="107">
        <v>0.3</v>
      </c>
      <c r="G11" s="99">
        <f>D11/E11</f>
        <v>1.5297171744773875E-3</v>
      </c>
      <c r="H11" s="99">
        <f>D11/(D11+E11)</f>
        <v>1.5273807139672662E-3</v>
      </c>
      <c r="I11" s="113">
        <v>1</v>
      </c>
      <c r="J11" s="100">
        <f t="shared" ref="J11:J14" si="0">I11/(1+(1-F11)*G11)</f>
        <v>0.99893034336834996</v>
      </c>
    </row>
    <row r="12" spans="2:13" x14ac:dyDescent="0.3">
      <c r="B12" t="s">
        <v>253</v>
      </c>
      <c r="C12" t="s">
        <v>258</v>
      </c>
      <c r="D12" s="98">
        <v>3037.7</v>
      </c>
      <c r="E12" s="98">
        <v>110690</v>
      </c>
      <c r="F12" s="107">
        <v>0.3</v>
      </c>
      <c r="G12" s="99">
        <f>D12/E12</f>
        <v>2.7443310145451257E-2</v>
      </c>
      <c r="H12" s="99">
        <f>D12/(D12+E12)</f>
        <v>2.6710291336235585E-2</v>
      </c>
      <c r="I12" s="113">
        <v>1</v>
      </c>
      <c r="J12" s="100">
        <f t="shared" si="0"/>
        <v>0.98115176349819389</v>
      </c>
    </row>
    <row r="13" spans="2:13" x14ac:dyDescent="0.3">
      <c r="B13" t="s">
        <v>254</v>
      </c>
      <c r="C13" t="s">
        <v>258</v>
      </c>
      <c r="D13" s="98">
        <v>1164.5</v>
      </c>
      <c r="E13" s="98">
        <v>96256.4</v>
      </c>
      <c r="F13" s="107">
        <v>0.3</v>
      </c>
      <c r="G13" s="99">
        <f>D13/E13</f>
        <v>1.2097896867117408E-2</v>
      </c>
      <c r="H13" s="99">
        <f>D13/(D13+E13)</f>
        <v>1.1953287230974052E-2</v>
      </c>
      <c r="I13" s="113">
        <v>1</v>
      </c>
      <c r="J13" s="100">
        <f t="shared" si="0"/>
        <v>0.99160258592759665</v>
      </c>
    </row>
    <row r="14" spans="2:13" x14ac:dyDescent="0.3">
      <c r="B14" t="s">
        <v>255</v>
      </c>
      <c r="C14" t="s">
        <v>258</v>
      </c>
      <c r="D14" s="98">
        <v>1068.0999999999999</v>
      </c>
      <c r="E14" s="98">
        <v>94940.4</v>
      </c>
      <c r="F14" s="107">
        <v>0.3</v>
      </c>
      <c r="G14" s="99">
        <f>D14/E14</f>
        <v>1.1250215924938172E-2</v>
      </c>
      <c r="H14" s="99">
        <f>D14/(D14+E14)</f>
        <v>1.1125056635610388E-2</v>
      </c>
      <c r="I14" s="113">
        <v>1</v>
      </c>
      <c r="J14" s="100">
        <f t="shared" si="0"/>
        <v>0.9921863822731507</v>
      </c>
    </row>
    <row r="16" spans="2:13" x14ac:dyDescent="0.3">
      <c r="E16" s="94" t="s">
        <v>259</v>
      </c>
      <c r="F16" s="101">
        <f>AVERAGE(F10:F14)</f>
        <v>0.3</v>
      </c>
      <c r="G16" s="101">
        <f t="shared" ref="G16:I16" si="1">AVERAGE(G10:G14)</f>
        <v>1.0836752220525426E-2</v>
      </c>
      <c r="H16" s="101">
        <f t="shared" si="1"/>
        <v>1.063503480011169E-2</v>
      </c>
      <c r="I16" s="103">
        <f t="shared" si="1"/>
        <v>1</v>
      </c>
      <c r="J16" s="103">
        <f>AVERAGE(J10:J14)</f>
        <v>0.9925137876290272</v>
      </c>
    </row>
    <row r="17" spans="1:13" x14ac:dyDescent="0.3">
      <c r="E17" s="95" t="s">
        <v>260</v>
      </c>
      <c r="F17" s="102">
        <f>MEDIAN(F10:F14)</f>
        <v>0.3</v>
      </c>
      <c r="G17" s="102">
        <f t="shared" ref="G17:J17" si="2">MEDIAN(G10:G14)</f>
        <v>1.1250215924938172E-2</v>
      </c>
      <c r="H17" s="102">
        <f t="shared" si="2"/>
        <v>1.1125056635610388E-2</v>
      </c>
      <c r="I17" s="104">
        <f t="shared" si="2"/>
        <v>1</v>
      </c>
      <c r="J17" s="104">
        <f t="shared" si="2"/>
        <v>0.9921863822731507</v>
      </c>
    </row>
    <row r="20" spans="1:13" x14ac:dyDescent="0.3">
      <c r="B20" s="106" t="s">
        <v>261</v>
      </c>
      <c r="C20" s="95"/>
      <c r="D20" s="95"/>
      <c r="E20" s="95"/>
      <c r="G20" s="106" t="s">
        <v>265</v>
      </c>
      <c r="H20" s="95"/>
      <c r="I20" s="95"/>
      <c r="J20" s="95"/>
      <c r="K20" s="95"/>
    </row>
    <row r="22" spans="1:13" x14ac:dyDescent="0.3">
      <c r="B22" t="s">
        <v>262</v>
      </c>
      <c r="E22" s="107">
        <v>8.4000000000000005E-2</v>
      </c>
      <c r="G22" t="s">
        <v>266</v>
      </c>
      <c r="K22" s="107">
        <v>6.8000000000000005E-2</v>
      </c>
    </row>
    <row r="23" spans="1:13" x14ac:dyDescent="0.3">
      <c r="A23" s="95"/>
      <c r="B23" s="95" t="s">
        <v>263</v>
      </c>
      <c r="C23" s="95"/>
      <c r="D23" s="95"/>
      <c r="E23" s="108">
        <v>0.3</v>
      </c>
      <c r="G23" t="s">
        <v>267</v>
      </c>
      <c r="K23" s="107">
        <v>0.08</v>
      </c>
    </row>
    <row r="24" spans="1:13" ht="15" x14ac:dyDescent="0.3">
      <c r="B24" s="2" t="s">
        <v>264</v>
      </c>
      <c r="E24" s="5">
        <f>E22*(1-E23)</f>
        <v>5.8799999999999998E-2</v>
      </c>
      <c r="G24" s="95" t="s">
        <v>268</v>
      </c>
      <c r="H24" s="95"/>
      <c r="I24" s="95"/>
      <c r="J24" s="95"/>
      <c r="K24" s="104">
        <f>K33</f>
        <v>1.5060317907936107</v>
      </c>
    </row>
    <row r="25" spans="1:13" x14ac:dyDescent="0.3">
      <c r="G25" s="2" t="s">
        <v>269</v>
      </c>
      <c r="K25" s="16">
        <f>K22+K23*K24</f>
        <v>0.18848254326348884</v>
      </c>
    </row>
    <row r="28" spans="1:13" x14ac:dyDescent="0.3">
      <c r="B28" s="106" t="s">
        <v>270</v>
      </c>
      <c r="C28" s="95"/>
      <c r="D28" s="95"/>
      <c r="E28" s="95"/>
      <c r="G28" s="106" t="s">
        <v>274</v>
      </c>
      <c r="H28" s="95"/>
      <c r="I28" s="95"/>
      <c r="J28" s="95"/>
      <c r="K28" s="95"/>
      <c r="L28" s="95"/>
      <c r="M28" s="95"/>
    </row>
    <row r="30" spans="1:13" x14ac:dyDescent="0.3">
      <c r="D30" s="106" t="s">
        <v>271</v>
      </c>
      <c r="E30" s="106" t="s">
        <v>272</v>
      </c>
      <c r="G30" t="s">
        <v>275</v>
      </c>
      <c r="K30" s="112">
        <f>J16</f>
        <v>0.9925137876290272</v>
      </c>
    </row>
    <row r="31" spans="1:13" x14ac:dyDescent="0.3">
      <c r="B31" t="s">
        <v>241</v>
      </c>
      <c r="C31" s="114">
        <v>15000</v>
      </c>
      <c r="D31" s="5">
        <f>C31/$C$33</f>
        <v>0.33333333333333331</v>
      </c>
      <c r="E31" s="107">
        <v>0.42499999999999999</v>
      </c>
      <c r="G31" t="s">
        <v>276</v>
      </c>
      <c r="K31" s="111">
        <f>E35</f>
        <v>0.73913043478260876</v>
      </c>
    </row>
    <row r="32" spans="1:13" x14ac:dyDescent="0.3">
      <c r="B32" s="95" t="s">
        <v>79</v>
      </c>
      <c r="C32" s="115">
        <v>30000</v>
      </c>
      <c r="D32" s="102">
        <f t="shared" ref="D32:D33" si="3">C32/$C$33</f>
        <v>0.66666666666666663</v>
      </c>
      <c r="E32" s="102">
        <f>E33-E31</f>
        <v>0.57499999999999996</v>
      </c>
      <c r="G32" s="95" t="s">
        <v>277</v>
      </c>
      <c r="H32" s="95"/>
      <c r="I32" s="95"/>
      <c r="J32" s="95"/>
      <c r="K32" s="105">
        <f>E23</f>
        <v>0.3</v>
      </c>
      <c r="L32" s="95"/>
      <c r="M32" s="95"/>
    </row>
    <row r="33" spans="2:13" x14ac:dyDescent="0.3">
      <c r="B33" s="2" t="s">
        <v>273</v>
      </c>
      <c r="C33" s="109">
        <f>C31+C32</f>
        <v>45000</v>
      </c>
      <c r="D33" s="5">
        <f t="shared" si="3"/>
        <v>1</v>
      </c>
      <c r="E33" s="110">
        <v>1</v>
      </c>
      <c r="G33" s="2" t="s">
        <v>274</v>
      </c>
      <c r="K33" s="112">
        <f>K30*(1+(1-K32)*K31)</f>
        <v>1.5060317907936107</v>
      </c>
    </row>
    <row r="35" spans="2:13" x14ac:dyDescent="0.3">
      <c r="B35" t="s">
        <v>278</v>
      </c>
      <c r="D35" s="116">
        <f>D31/D32</f>
        <v>0.5</v>
      </c>
      <c r="E35" s="116">
        <f>E31/E32</f>
        <v>0.73913043478260876</v>
      </c>
      <c r="G35" s="106" t="s">
        <v>279</v>
      </c>
      <c r="H35" s="95"/>
      <c r="I35" s="95"/>
      <c r="J35" s="95"/>
      <c r="K35" s="95"/>
      <c r="L35" s="95"/>
      <c r="M35" s="95"/>
    </row>
    <row r="36" spans="2:13" x14ac:dyDescent="0.3">
      <c r="K36" s="117" t="s">
        <v>281</v>
      </c>
      <c r="L36" s="117" t="s">
        <v>282</v>
      </c>
      <c r="M36" s="117"/>
    </row>
    <row r="37" spans="2:13" x14ac:dyDescent="0.3">
      <c r="G37" t="s">
        <v>280</v>
      </c>
      <c r="K37" s="5">
        <f>E24</f>
        <v>5.8799999999999998E-2</v>
      </c>
      <c r="L37" s="5">
        <f>E31</f>
        <v>0.42499999999999999</v>
      </c>
    </row>
    <row r="38" spans="2:13" x14ac:dyDescent="0.3">
      <c r="G38" s="95" t="s">
        <v>245</v>
      </c>
      <c r="H38" s="95"/>
      <c r="I38" s="95"/>
      <c r="J38" s="95"/>
      <c r="K38" s="102">
        <f>K25</f>
        <v>0.18848254326348884</v>
      </c>
      <c r="L38" s="102">
        <f>E32</f>
        <v>0.57499999999999996</v>
      </c>
      <c r="M38" s="95"/>
    </row>
    <row r="39" spans="2:13" x14ac:dyDescent="0.3">
      <c r="G39" s="2" t="s">
        <v>279</v>
      </c>
      <c r="L39" s="16">
        <f>SUMPRODUCT(K37:K38,L37:L38)</f>
        <v>0.13336746237650607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F908-0307-48D4-8EE1-4F1A0AC5D6E7}">
  <sheetPr>
    <tabColor rgb="FF92D050"/>
  </sheetPr>
  <dimension ref="A1:O52"/>
  <sheetViews>
    <sheetView workbookViewId="0">
      <pane ySplit="2" topLeftCell="A3" activePane="bottomLeft" state="frozen"/>
      <selection pane="bottomLeft" activeCell="P9" sqref="P9"/>
    </sheetView>
  </sheetViews>
  <sheetFormatPr defaultRowHeight="14.4" x14ac:dyDescent="0.3"/>
  <cols>
    <col min="1" max="1" width="34.44140625" style="55" bestFit="1" customWidth="1"/>
    <col min="2" max="2" width="7.6640625" style="55" bestFit="1" customWidth="1"/>
    <col min="3" max="3" width="8" style="55" bestFit="1" customWidth="1"/>
    <col min="4" max="4" width="7.6640625" style="55" bestFit="1" customWidth="1"/>
    <col min="5" max="5" width="8.6640625" style="55" customWidth="1"/>
    <col min="6" max="6" width="7.6640625" style="55" bestFit="1" customWidth="1"/>
    <col min="7" max="7" width="8" style="55" bestFit="1" customWidth="1"/>
    <col min="8" max="8" width="7.6640625" style="55" bestFit="1" customWidth="1"/>
    <col min="9" max="9" width="7.109375" style="55" bestFit="1" customWidth="1"/>
    <col min="10" max="10" width="8" style="55" bestFit="1" customWidth="1"/>
    <col min="11" max="11" width="7.109375" style="55" bestFit="1" customWidth="1"/>
    <col min="12" max="12" width="11.88671875" style="55" customWidth="1"/>
    <col min="13" max="13" width="10" style="55" bestFit="1" customWidth="1"/>
    <col min="14" max="14" width="9" style="55" bestFit="1" customWidth="1"/>
    <col min="15" max="16384" width="8.88671875" style="55"/>
  </cols>
  <sheetData>
    <row r="1" spans="1:15" x14ac:dyDescent="0.3">
      <c r="A1" s="54"/>
      <c r="B1" s="54"/>
      <c r="C1" s="27"/>
      <c r="D1" s="27"/>
      <c r="E1" s="27" t="str">
        <f>"RATIO ANALYSIS OF - "&amp;'Data Sheet'!B1</f>
        <v>RATIO ANALYSIS OF - ESCORTS KUBOTA LTD</v>
      </c>
      <c r="F1" s="27"/>
      <c r="G1" s="27"/>
      <c r="H1" s="27"/>
      <c r="I1" s="27"/>
      <c r="J1" s="27"/>
      <c r="K1" s="27"/>
      <c r="L1" s="54"/>
      <c r="M1" s="54"/>
    </row>
    <row r="2" spans="1:15" x14ac:dyDescent="0.3">
      <c r="A2" s="27" t="s">
        <v>93</v>
      </c>
      <c r="B2" s="28">
        <f>'Data Sheet'!B16</f>
        <v>42460</v>
      </c>
      <c r="C2" s="28">
        <f>'Data Sheet'!C16</f>
        <v>42825</v>
      </c>
      <c r="D2" s="28">
        <f>'Data Sheet'!D16</f>
        <v>43190</v>
      </c>
      <c r="E2" s="28">
        <f>'Data Sheet'!E16</f>
        <v>43555</v>
      </c>
      <c r="F2" s="28">
        <f>'Data Sheet'!F16</f>
        <v>43921</v>
      </c>
      <c r="G2" s="28">
        <f>'Data Sheet'!G16</f>
        <v>44286</v>
      </c>
      <c r="H2" s="28">
        <f>'Data Sheet'!H16</f>
        <v>44651</v>
      </c>
      <c r="I2" s="28">
        <f>'Data Sheet'!I16</f>
        <v>45016</v>
      </c>
      <c r="J2" s="28">
        <f>'Data Sheet'!J16</f>
        <v>45382</v>
      </c>
      <c r="K2" s="28">
        <f>'Data Sheet'!K16</f>
        <v>45747</v>
      </c>
      <c r="L2" s="82" t="s">
        <v>208</v>
      </c>
      <c r="M2" s="82" t="s">
        <v>206</v>
      </c>
      <c r="N2" s="28" t="s">
        <v>207</v>
      </c>
      <c r="O2" s="28"/>
    </row>
    <row r="3" spans="1:15" x14ac:dyDescent="0.3">
      <c r="A3" s="54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</row>
    <row r="4" spans="1:15" x14ac:dyDescent="0.3">
      <c r="A4" s="58" t="s">
        <v>176</v>
      </c>
      <c r="B4" s="59" t="str">
        <f>IFERROR('HISTORICAL FS'!C6,0)</f>
        <v>-</v>
      </c>
      <c r="C4" s="60">
        <f>IFERROR('HISTORICAL FS'!D6,0)</f>
        <v>0.20785025597393947</v>
      </c>
      <c r="D4" s="60">
        <f>IFERROR('HISTORICAL FS'!E6,0)</f>
        <v>0.22049149283651737</v>
      </c>
      <c r="E4" s="60">
        <f>IFERROR('HISTORICAL FS'!F6,0)</f>
        <v>0.23771480074476115</v>
      </c>
      <c r="F4" s="60">
        <f>IFERROR('HISTORICAL FS'!G6,0)</f>
        <v>-7.2170002650901788E-2</v>
      </c>
      <c r="G4" s="60">
        <f>IFERROR('HISTORICAL FS'!H6,0)</f>
        <v>0.20728250336913878</v>
      </c>
      <c r="H4" s="60">
        <f>IFERROR('HISTORICAL FS'!I6,0)</f>
        <v>3.8239797445833057E-2</v>
      </c>
      <c r="I4" s="60">
        <f>IFERROR('HISTORICAL FS'!J6,0)</f>
        <v>0.15736579404475037</v>
      </c>
      <c r="J4" s="60">
        <f>IFERROR('HISTORICAL FS'!K6,0)</f>
        <v>0.16312143405440227</v>
      </c>
      <c r="K4" s="60">
        <f>IFERROR('HISTORICAL FS'!L6,0)</f>
        <v>4.4911098893364532E-2</v>
      </c>
      <c r="L4" s="79"/>
      <c r="M4" s="60">
        <f>IFERROR(AVERAGE(C4:K4),0)</f>
        <v>0.13386746385686724</v>
      </c>
      <c r="N4" s="60">
        <f>IFERROR(MEDIAN(C4:K4),0)</f>
        <v>0.16312143405440227</v>
      </c>
    </row>
    <row r="5" spans="1:15" x14ac:dyDescent="0.3">
      <c r="A5" s="55" t="s">
        <v>177</v>
      </c>
      <c r="B5" s="77" t="s">
        <v>97</v>
      </c>
      <c r="C5" s="57">
        <f>IFERROR('HISTORICAL FS'!E17/'HISTORICAL FS'!D17-1,0)</f>
        <v>1.0664351333184023</v>
      </c>
      <c r="D5" s="57">
        <f>IFERROR('HISTORICAL FS'!F17/'HISTORICAL FS'!E17-1,0)</f>
        <v>0.30581006596186722</v>
      </c>
      <c r="E5" s="57">
        <f>IFERROR('HISTORICAL FS'!G17/'HISTORICAL FS'!F17-1,0)</f>
        <v>-8.4766873797693654E-2</v>
      </c>
      <c r="F5" s="57">
        <f>IFERROR('HISTORICAL FS'!H17/'HISTORICAL FS'!G17-1,0)</f>
        <v>0.70268553801487843</v>
      </c>
      <c r="G5" s="57">
        <f>IFERROR('HISTORICAL FS'!I17/'HISTORICAL FS'!H17-1,0)</f>
        <v>-0.14205786753343697</v>
      </c>
      <c r="H5" s="57">
        <f>IFERROR('HISTORICAL FS'!J17/'HISTORICAL FS'!I17-1,0)</f>
        <v>-0.20290665176075906</v>
      </c>
      <c r="I5" s="57">
        <f>IFERROR('HISTORICAL FS'!K17/'HISTORICAL FS'!J17-1,0)</f>
        <v>0.46793673055944951</v>
      </c>
      <c r="J5" s="57">
        <f>IFERROR('HISTORICAL FS'!L17/'HISTORICAL FS'!K17-1,0)</f>
        <v>2.991940691985695E-2</v>
      </c>
      <c r="K5" s="57">
        <f>IFERROR('HISTORICAL FS'!M17/'HISTORICAL FS'!L17-1,0)</f>
        <v>4.5147269775553722E-2</v>
      </c>
      <c r="L5" s="57"/>
      <c r="M5" s="57">
        <f t="shared" ref="M5:M8" si="0">IFERROR(AVERAGE(C5:K5),0)</f>
        <v>0.24313363905090205</v>
      </c>
      <c r="N5" s="57">
        <f t="shared" ref="N5:N8" si="1">IFERROR(MEDIAN(C5:K5),0)</f>
        <v>4.5147269775553722E-2</v>
      </c>
      <c r="O5" s="55" t="s">
        <v>202</v>
      </c>
    </row>
    <row r="6" spans="1:15" x14ac:dyDescent="0.3">
      <c r="A6" s="55" t="s">
        <v>178</v>
      </c>
      <c r="B6" s="77" t="s">
        <v>97</v>
      </c>
      <c r="C6" s="57">
        <f>IFERROR('HISTORICAL FS'!E26/'HISTORICAL FS'!D26-1,0)</f>
        <v>1.6177171071739886</v>
      </c>
      <c r="D6" s="57">
        <f>IFERROR('HISTORICAL FS'!F26/'HISTORICAL FS'!E26-1,0)</f>
        <v>0.36654535771347252</v>
      </c>
      <c r="E6" s="57">
        <f>IFERROR('HISTORICAL FS'!G26/'HISTORICAL FS'!F26-1,0)</f>
        <v>-0.12820304634471047</v>
      </c>
      <c r="F6" s="57">
        <f>IFERROR('HISTORICAL FS'!H26/'HISTORICAL FS'!G26-1,0)</f>
        <v>0.85221748281706811</v>
      </c>
      <c r="G6" s="57">
        <f>IFERROR('HISTORICAL FS'!I26/'HISTORICAL FS'!H26-1,0)</f>
        <v>-0.17635760257441735</v>
      </c>
      <c r="H6" s="57">
        <f>IFERROR('HISTORICAL FS'!J26/'HISTORICAL FS'!I26-1,0)</f>
        <v>-0.2592334835109813</v>
      </c>
      <c r="I6" s="57">
        <f>IFERROR('HISTORICAL FS'!K26/'HISTORICAL FS'!J26-1,0)</f>
        <v>0.42514545664320447</v>
      </c>
      <c r="J6" s="57">
        <f>IFERROR('HISTORICAL FS'!L26/'HISTORICAL FS'!K26-1,0)</f>
        <v>3.0902677383911392E-2</v>
      </c>
      <c r="K6" s="57">
        <f>IFERROR('HISTORICAL FS'!M26/'HISTORICAL FS'!L26-1,0)</f>
        <v>5.6070991844017204E-2</v>
      </c>
      <c r="L6" s="57"/>
      <c r="M6" s="57">
        <f t="shared" si="0"/>
        <v>0.30942277123839484</v>
      </c>
      <c r="N6" s="57">
        <f t="shared" si="1"/>
        <v>5.6070991844017204E-2</v>
      </c>
    </row>
    <row r="7" spans="1:15" x14ac:dyDescent="0.3">
      <c r="A7" s="55" t="s">
        <v>179</v>
      </c>
      <c r="B7" s="77" t="s">
        <v>97</v>
      </c>
      <c r="C7" s="57">
        <f>IFERROR('HISTORICAL FS'!E32/'HISTORICAL FS'!D32-1,0)</f>
        <v>2.0363540569020273</v>
      </c>
      <c r="D7" s="57">
        <f>IFERROR('HISTORICAL FS'!F32/'HISTORICAL FS'!E32-1,0)</f>
        <v>0.3142807565504051</v>
      </c>
      <c r="E7" s="57">
        <f>IFERROR('HISTORICAL FS'!G32/'HISTORICAL FS'!F32-1,0)</f>
        <v>1.2225713606718758E-2</v>
      </c>
      <c r="F7" s="57">
        <f>IFERROR('HISTORICAL FS'!H32/'HISTORICAL FS'!G32-1,0)</f>
        <v>0.85540251473887241</v>
      </c>
      <c r="G7" s="57">
        <f>IFERROR('HISTORICAL FS'!I32/'HISTORICAL FS'!H32-1,0)</f>
        <v>-0.21010896309314686</v>
      </c>
      <c r="H7" s="57">
        <f>IFERROR('HISTORICAL FS'!J32/'HISTORICAL FS'!I32-1,0)</f>
        <v>-0.2724052615652961</v>
      </c>
      <c r="I7" s="57">
        <f>IFERROR('HISTORICAL FS'!K32/'HISTORICAL FS'!J32-1,0)</f>
        <v>0.34855786872813233</v>
      </c>
      <c r="J7" s="57">
        <f>IFERROR('HISTORICAL FS'!L32/'HISTORICAL FS'!K32-1,0)</f>
        <v>0.20529705215419303</v>
      </c>
      <c r="K7" s="57">
        <f>IFERROR('HISTORICAL FS'!M32/'HISTORICAL FS'!L32-1,0)</f>
        <v>5.604888474158165E-2</v>
      </c>
      <c r="L7" s="57"/>
      <c r="M7" s="57">
        <f t="shared" si="0"/>
        <v>0.37173918030705422</v>
      </c>
      <c r="N7" s="57">
        <f t="shared" si="1"/>
        <v>0.20529705215419303</v>
      </c>
    </row>
    <row r="8" spans="1:15" x14ac:dyDescent="0.3">
      <c r="A8" s="61" t="s">
        <v>180</v>
      </c>
      <c r="B8" s="78" t="s">
        <v>97</v>
      </c>
      <c r="C8" s="62">
        <f>IFERROR('HISTORICAL FS'!D40/'HISTORICAL FS'!C40-1,0)</f>
        <v>0.25016995241332407</v>
      </c>
      <c r="D8" s="62">
        <f>IFERROR('HISTORICAL FS'!E40/'HISTORICAL FS'!D40-1,0)</f>
        <v>0.33333333333333326</v>
      </c>
      <c r="E8" s="62">
        <f>IFERROR('HISTORICAL FS'!F40/'HISTORICAL FS'!E40-1,0)</f>
        <v>0.24959216965742259</v>
      </c>
      <c r="F8" s="62">
        <f>IFERROR('HISTORICAL FS'!G40/'HISTORICAL FS'!F40-1,0)</f>
        <v>0</v>
      </c>
      <c r="G8" s="62">
        <f>IFERROR('HISTORICAL FS'!H40/'HISTORICAL FS'!G40-1,0)</f>
        <v>2.0015727777734731</v>
      </c>
      <c r="H8" s="62">
        <f>IFERROR('HISTORICAL FS'!I40/'HISTORICAL FS'!H40-1,0)</f>
        <v>-6.6548065757526254E-2</v>
      </c>
      <c r="I8" s="62">
        <f>IFERROR('HISTORICAL FS'!J40/'HISTORICAL FS'!I40-1,0)</f>
        <v>0</v>
      </c>
      <c r="J8" s="62">
        <f>IFERROR('HISTORICAL FS'!K40/'HISTORICAL FS'!J40-1,0)</f>
        <v>1.5705933304460804</v>
      </c>
      <c r="K8" s="62">
        <f>IFERROR('HISTORICAL FS'!L40/'HISTORICAL FS'!K40-1,0)</f>
        <v>0.55525767053917185</v>
      </c>
      <c r="L8" s="62"/>
      <c r="M8" s="62">
        <f t="shared" si="0"/>
        <v>0.54377457426725329</v>
      </c>
      <c r="N8" s="62">
        <f t="shared" si="1"/>
        <v>0.25016995241332407</v>
      </c>
    </row>
    <row r="9" spans="1:15" x14ac:dyDescent="0.3">
      <c r="M9" s="57"/>
      <c r="N9" s="57"/>
    </row>
    <row r="10" spans="1:15" x14ac:dyDescent="0.3">
      <c r="A10" s="58" t="s">
        <v>175</v>
      </c>
      <c r="B10" s="60">
        <f>IFERROR('HISTORICAL FS'!C12,0)</f>
        <v>0.14557734725334279</v>
      </c>
      <c r="C10" s="60">
        <f>IFERROR('HISTORICAL FS'!D12,0)</f>
        <v>0.17256768459929595</v>
      </c>
      <c r="D10" s="60">
        <f>IFERROR('HISTORICAL FS'!E12,0)</f>
        <v>0.19485545545466415</v>
      </c>
      <c r="E10" s="60">
        <f>IFERROR('HISTORICAL FS'!F12,0)</f>
        <v>0.19665539234943355</v>
      </c>
      <c r="F10" s="60">
        <f>IFERROR('HISTORICAL FS'!G12,0)</f>
        <v>0.20597443413096878</v>
      </c>
      <c r="G10" s="60">
        <f>IFERROR('HISTORICAL FS'!H12,0)</f>
        <v>0.22400426549878683</v>
      </c>
      <c r="H10" s="60">
        <f>IFERROR('HISTORICAL FS'!I12,0)</f>
        <v>0.20346027888200033</v>
      </c>
      <c r="I10" s="60">
        <f>IFERROR('HISTORICAL FS'!J12,0)</f>
        <v>0.16093722749324041</v>
      </c>
      <c r="J10" s="60">
        <f>IFERROR('HISTORICAL FS'!K12,0)</f>
        <v>0.17716469170987356</v>
      </c>
      <c r="K10" s="60">
        <f>IFERROR('HISTORICAL FS'!L12,0)</f>
        <v>0.17338059407177733</v>
      </c>
      <c r="L10" s="80"/>
      <c r="M10" s="72">
        <f>IFERROR(AVERAGE(B10:K10),0)</f>
        <v>0.18545773714433836</v>
      </c>
      <c r="N10" s="72">
        <f>IFERROR(AVERAGE(C10:L10),0)</f>
        <v>0.18988889157667121</v>
      </c>
    </row>
    <row r="11" spans="1:15" x14ac:dyDescent="0.3">
      <c r="A11" s="55" t="s">
        <v>181</v>
      </c>
      <c r="B11" s="57">
        <f>IFERROR('HISTORICAL FS'!C18,0)</f>
        <v>4.6896989793093771E-2</v>
      </c>
      <c r="C11" s="57">
        <f>IFERROR('HISTORICAL FS'!D18,0)</f>
        <v>6.4597993404626269E-2</v>
      </c>
      <c r="D11" s="57">
        <f>IFERROR('HISTORICAL FS'!E18,0)</f>
        <v>0.10937197341945799</v>
      </c>
      <c r="E11" s="57">
        <f>IFERROR('HISTORICAL FS'!F18,0)</f>
        <v>0.11538928333029917</v>
      </c>
      <c r="F11" s="57">
        <f>IFERROR('HISTORICAL FS'!G18,0)</f>
        <v>0.11382267744561625</v>
      </c>
      <c r="G11" s="57">
        <f>IFERROR('HISTORICAL FS'!H18,0)</f>
        <v>0.16052930962217835</v>
      </c>
      <c r="H11" s="57">
        <f>IFERROR('HISTORICAL FS'!I18,0)</f>
        <v>0.132652262569257</v>
      </c>
      <c r="I11" s="57">
        <f>IFERROR('HISTORICAL FS'!J18,0)</f>
        <v>9.1359392740746267E-2</v>
      </c>
      <c r="J11" s="57">
        <f>IFERROR('HISTORICAL FS'!K18,0)</f>
        <v>0.11530163950144788</v>
      </c>
      <c r="K11" s="57">
        <f>IFERROR('HISTORICAL FS'!L18,0)</f>
        <v>0.11364736798947257</v>
      </c>
      <c r="L11" s="80"/>
      <c r="M11" s="72">
        <f t="shared" ref="M11:M51" si="2">IFERROR(AVERAGE(B11:K11),0)</f>
        <v>0.10635688898161955</v>
      </c>
      <c r="N11" s="72">
        <f t="shared" ref="N11:N51" si="3">IFERROR(AVERAGE(C11:L11),0)</f>
        <v>0.1129635444470113</v>
      </c>
    </row>
    <row r="12" spans="1:15" x14ac:dyDescent="0.3">
      <c r="A12" s="55" t="s">
        <v>182</v>
      </c>
      <c r="B12" s="57">
        <f>IFERROR(('HISTORICAL FS'!C17-'HISTORICAL FS'!C23)/'HISTORICAL FS'!C5,0)</f>
        <v>2.9959294753189807E-2</v>
      </c>
      <c r="C12" s="57">
        <f>IFERROR(('HISTORICAL FS'!D17-'HISTORICAL FS'!D23)/'HISTORICAL FS'!D5,0)</f>
        <v>4.9298849548769189E-2</v>
      </c>
      <c r="D12" s="57">
        <f>IFERROR(('HISTORICAL FS'!E17-'HISTORICAL FS'!E23)/'HISTORICAL FS'!E5,0)</f>
        <v>9.4899730004308971E-2</v>
      </c>
      <c r="E12" s="57">
        <f>IFERROR(('HISTORICAL FS'!F17-'HISTORICAL FS'!F23)/'HISTORICAL FS'!F5,0)</f>
        <v>0.10146246738272953</v>
      </c>
      <c r="F12" s="57">
        <f>IFERROR(('HISTORICAL FS'!G17-'HISTORICAL FS'!G23)/'HISTORICAL FS'!G5,0)</f>
        <v>9.536857432501053E-2</v>
      </c>
      <c r="G12" s="57">
        <f>IFERROR(('HISTORICAL FS'!H17-'HISTORICAL FS'!H23)/'HISTORICAL FS'!H5,0)</f>
        <v>0.14366690332201382</v>
      </c>
      <c r="H12" s="57">
        <f>IFERROR(('HISTORICAL FS'!I17-'HISTORICAL FS'!I23)/'HISTORICAL FS'!I5,0)</f>
        <v>0.1145187534757265</v>
      </c>
      <c r="I12" s="57">
        <f>IFERROR(('HISTORICAL FS'!J17-'HISTORICAL FS'!J23)/'HISTORICAL FS'!J5,0)</f>
        <v>7.3555914382899434E-2</v>
      </c>
      <c r="J12" s="57">
        <f>IFERROR(('HISTORICAL FS'!K17-'HISTORICAL FS'!K23)/'HISTORICAL FS'!K5,0)</f>
        <v>9.2446746548968228E-2</v>
      </c>
      <c r="K12" s="57">
        <f>IFERROR(('HISTORICAL FS'!L17-'HISTORICAL FS'!L23)/'HISTORICAL FS'!L5,0)</f>
        <v>8.9862434936762076E-2</v>
      </c>
      <c r="L12" s="80"/>
      <c r="M12" s="72">
        <f t="shared" si="2"/>
        <v>8.8503966868037798E-2</v>
      </c>
      <c r="N12" s="72">
        <f t="shared" si="3"/>
        <v>9.500893043635425E-2</v>
      </c>
    </row>
    <row r="13" spans="1:15" x14ac:dyDescent="0.3">
      <c r="A13" s="55" t="s">
        <v>183</v>
      </c>
      <c r="B13" s="57">
        <f>IFERROR('HISTORICAL FS'!C27,0)</f>
        <v>1.5081629025725565E-2</v>
      </c>
      <c r="C13" s="57">
        <f>IFERROR('HISTORICAL FS'!D27,0)</f>
        <v>4.1528659961932925E-2</v>
      </c>
      <c r="D13" s="57">
        <f>IFERROR('HISTORICAL FS'!E27,0)</f>
        <v>8.9070906481873255E-2</v>
      </c>
      <c r="E13" s="57">
        <f>IFERROR('HISTORICAL FS'!F27,0)</f>
        <v>9.8342068533795804E-2</v>
      </c>
      <c r="F13" s="57">
        <f>IFERROR('HISTORICAL FS'!G27,0)</f>
        <v>9.2403043670580054E-2</v>
      </c>
      <c r="G13" s="57">
        <f>IFERROR('HISTORICAL FS'!H27,0)</f>
        <v>0.14176510673726411</v>
      </c>
      <c r="H13" s="57">
        <f>IFERROR('HISTORICAL FS'!I27,0)</f>
        <v>0.11246318304463342</v>
      </c>
      <c r="I13" s="57">
        <f>IFERROR('HISTORICAL FS'!J27,0)</f>
        <v>7.1981529751361198E-2</v>
      </c>
      <c r="J13" s="57">
        <f>IFERROR('HISTORICAL FS'!K27,0)</f>
        <v>8.8197282832105317E-2</v>
      </c>
      <c r="K13" s="57">
        <f>IFERROR('HISTORICAL FS'!L27,0)</f>
        <v>8.7014881080215545E-2</v>
      </c>
      <c r="L13" s="80"/>
      <c r="M13" s="72">
        <f t="shared" si="2"/>
        <v>8.3784829111948705E-2</v>
      </c>
      <c r="N13" s="72">
        <f t="shared" si="3"/>
        <v>9.1418518010417962E-2</v>
      </c>
    </row>
    <row r="14" spans="1:15" x14ac:dyDescent="0.3">
      <c r="A14" s="61" t="s">
        <v>184</v>
      </c>
      <c r="B14" s="62">
        <f>IFERROR('HISTORICAL FS'!C33,0)</f>
        <v>1.1506443783344323E-2</v>
      </c>
      <c r="C14" s="62">
        <f>IFERROR('HISTORICAL FS'!D33,0)</f>
        <v>2.2893231660687911E-2</v>
      </c>
      <c r="D14" s="62">
        <f>IFERROR('HISTORICAL FS'!E33,0)</f>
        <v>5.6954069107828409E-2</v>
      </c>
      <c r="E14" s="62">
        <f>IFERROR('HISTORICAL FS'!F33,0)</f>
        <v>6.0477290075726366E-2</v>
      </c>
      <c r="F14" s="62">
        <f>IFERROR('HISTORICAL FS'!G33,0)</f>
        <v>6.5978323915808615E-2</v>
      </c>
      <c r="G14" s="62">
        <f>IFERROR('HISTORICAL FS'!H33,0)</f>
        <v>0.10139826243652365</v>
      </c>
      <c r="H14" s="62">
        <f>IFERROR('HISTORICAL FS'!I33,0)</f>
        <v>7.7143622170501053E-2</v>
      </c>
      <c r="I14" s="62">
        <f>IFERROR('HISTORICAL FS'!J33,0)</f>
        <v>4.8497453340910698E-2</v>
      </c>
      <c r="J14" s="62">
        <f>IFERROR('HISTORICAL FS'!K33,0)</f>
        <v>5.6229401678364703E-2</v>
      </c>
      <c r="K14" s="62">
        <f>IFERROR('HISTORICAL FS'!L33,0)</f>
        <v>6.4860189693748682E-2</v>
      </c>
      <c r="L14" s="80"/>
      <c r="M14" s="72">
        <f t="shared" si="2"/>
        <v>5.6593828786344447E-2</v>
      </c>
      <c r="N14" s="72">
        <f t="shared" si="3"/>
        <v>6.1603538231122239E-2</v>
      </c>
    </row>
    <row r="15" spans="1:15" x14ac:dyDescent="0.3">
      <c r="L15" s="80"/>
      <c r="M15" s="72"/>
      <c r="N15" s="72"/>
    </row>
    <row r="16" spans="1:15" x14ac:dyDescent="0.3">
      <c r="A16" s="58" t="s">
        <v>185</v>
      </c>
      <c r="B16" s="60">
        <f>IFERROR('HISTORICAL FS'!C15,0)</f>
        <v>9.8680357460249016E-2</v>
      </c>
      <c r="C16" s="60">
        <f>IFERROR('HISTORICAL FS'!D15,0)</f>
        <v>0.10796969119466968</v>
      </c>
      <c r="D16" s="60">
        <f>IFERROR('HISTORICAL FS'!E15,0)</f>
        <v>8.5483482035206171E-2</v>
      </c>
      <c r="E16" s="60">
        <f>IFERROR('HISTORICAL FS'!F15,0)</f>
        <v>8.1266109019134392E-2</v>
      </c>
      <c r="F16" s="60">
        <f>IFERROR('HISTORICAL FS'!G15,0)</f>
        <v>9.215175668535254E-2</v>
      </c>
      <c r="G16" s="60">
        <f>IFERROR('HISTORICAL FS'!H15,0)</f>
        <v>6.347495587660848E-2</v>
      </c>
      <c r="H16" s="60">
        <f>IFERROR('HISTORICAL FS'!I15,0)</f>
        <v>7.0808016312743319E-2</v>
      </c>
      <c r="I16" s="60">
        <f>IFERROR('HISTORICAL FS'!J15,0)</f>
        <v>6.9577834752494155E-2</v>
      </c>
      <c r="J16" s="60">
        <f>IFERROR('HISTORICAL FS'!K15,0)</f>
        <v>6.1863052208425688E-2</v>
      </c>
      <c r="K16" s="60">
        <f>IFERROR('HISTORICAL FS'!L15,0)</f>
        <v>5.9733226082304754E-2</v>
      </c>
      <c r="L16" s="80"/>
      <c r="M16" s="72">
        <f t="shared" si="2"/>
        <v>7.9100848162718826E-2</v>
      </c>
      <c r="N16" s="72">
        <f t="shared" si="3"/>
        <v>7.6925347129659913E-2</v>
      </c>
    </row>
    <row r="17" spans="1:14" x14ac:dyDescent="0.3">
      <c r="A17" s="55" t="s">
        <v>186</v>
      </c>
      <c r="B17" s="57">
        <f>IFERROR('HISTORICAL FS'!C24,0)</f>
        <v>1.6937695039903965E-2</v>
      </c>
      <c r="C17" s="57">
        <f>IFERROR('HISTORICAL FS'!D24,0)</f>
        <v>1.5299143855857074E-2</v>
      </c>
      <c r="D17" s="57">
        <f>IFERROR('HISTORICAL FS'!E24,0)</f>
        <v>1.4472243415149012E-2</v>
      </c>
      <c r="E17" s="57">
        <f>IFERROR('HISTORICAL FS'!F24,0)</f>
        <v>1.3926815947569633E-2</v>
      </c>
      <c r="F17" s="57">
        <f>IFERROR('HISTORICAL FS'!G24,0)</f>
        <v>1.8454103120605705E-2</v>
      </c>
      <c r="G17" s="57">
        <f>IFERROR('HISTORICAL FS'!H24,0)</f>
        <v>1.6862406300164518E-2</v>
      </c>
      <c r="H17" s="57">
        <f>IFERROR('HISTORICAL FS'!I24,0)</f>
        <v>1.8133509093530516E-2</v>
      </c>
      <c r="I17" s="57">
        <f>IFERROR('HISTORICAL FS'!J24,0)</f>
        <v>1.780347835784683E-2</v>
      </c>
      <c r="J17" s="57">
        <f>IFERROR('HISTORICAL FS'!K24,0)</f>
        <v>2.2854892952479652E-2</v>
      </c>
      <c r="K17" s="57">
        <f>IFERROR('HISTORICAL FS'!L24,0)</f>
        <v>2.37849330527105E-2</v>
      </c>
      <c r="L17" s="80"/>
      <c r="M17" s="72">
        <f t="shared" si="2"/>
        <v>1.7852922113581738E-2</v>
      </c>
      <c r="N17" s="72">
        <f t="shared" si="3"/>
        <v>1.7954614010657052E-2</v>
      </c>
    </row>
    <row r="18" spans="1:14" x14ac:dyDescent="0.3">
      <c r="A18" s="61" t="s">
        <v>187</v>
      </c>
      <c r="B18" s="62">
        <f t="shared" ref="B18:K18" si="4">IFERROR(B12,0)</f>
        <v>2.9959294753189807E-2</v>
      </c>
      <c r="C18" s="62">
        <f t="shared" si="4"/>
        <v>4.9298849548769189E-2</v>
      </c>
      <c r="D18" s="62">
        <f t="shared" si="4"/>
        <v>9.4899730004308971E-2</v>
      </c>
      <c r="E18" s="62">
        <f t="shared" si="4"/>
        <v>0.10146246738272953</v>
      </c>
      <c r="F18" s="62">
        <f t="shared" si="4"/>
        <v>9.536857432501053E-2</v>
      </c>
      <c r="G18" s="62">
        <f t="shared" si="4"/>
        <v>0.14366690332201382</v>
      </c>
      <c r="H18" s="62">
        <f t="shared" si="4"/>
        <v>0.1145187534757265</v>
      </c>
      <c r="I18" s="62">
        <f t="shared" si="4"/>
        <v>7.3555914382899434E-2</v>
      </c>
      <c r="J18" s="62">
        <f t="shared" si="4"/>
        <v>9.2446746548968228E-2</v>
      </c>
      <c r="K18" s="62">
        <f t="shared" si="4"/>
        <v>8.9862434936762076E-2</v>
      </c>
      <c r="L18" s="80"/>
      <c r="M18" s="72">
        <f t="shared" si="2"/>
        <v>8.8503966868037798E-2</v>
      </c>
      <c r="N18" s="72">
        <f t="shared" si="3"/>
        <v>9.500893043635425E-2</v>
      </c>
    </row>
    <row r="19" spans="1:14" x14ac:dyDescent="0.3">
      <c r="L19" s="80"/>
      <c r="M19" s="72"/>
      <c r="N19" s="72"/>
    </row>
    <row r="20" spans="1:14" x14ac:dyDescent="0.3">
      <c r="A20" s="58" t="s">
        <v>188</v>
      </c>
      <c r="B20" s="60">
        <f>IFERROR(('HISTORICAL FS'!C17-'HISTORICAL FS'!C23)/(SUM('HISTORICAL FS'!C46,'HISTORICAL FS'!C47,'HISTORICAL FS'!C48)),0)</f>
        <v>5.6044914422762389E-2</v>
      </c>
      <c r="C20" s="60">
        <f>IFERROR(('HISTORICAL FS'!D17-'HISTORICAL FS'!D23)/(SUM('HISTORICAL FS'!D46,'HISTORICAL FS'!D47,'HISTORICAL FS'!D48)),0)</f>
        <v>0.10833563052651636</v>
      </c>
      <c r="D20" s="60">
        <f>IFERROR(('HISTORICAL FS'!E17-'HISTORICAL FS'!E23)/(SUM('HISTORICAL FS'!E46,'HISTORICAL FS'!E47,'HISTORICAL FS'!E48)),0)</f>
        <v>0.21186287358299932</v>
      </c>
      <c r="E20" s="60">
        <f>IFERROR(('HISTORICAL FS'!F17-'HISTORICAL FS'!F23)/(SUM('HISTORICAL FS'!F46,'HISTORICAL FS'!F47,'HISTORICAL FS'!F48)),0)</f>
        <v>0.21505187090659855</v>
      </c>
      <c r="F20" s="60">
        <f>IFERROR(('HISTORICAL FS'!G17-'HISTORICAL FS'!G23)/(SUM('HISTORICAL FS'!G46,'HISTORICAL FS'!G47,'HISTORICAL FS'!G48)),0)</f>
        <v>0.17506721810260134</v>
      </c>
      <c r="G20" s="60">
        <f>IFERROR(('HISTORICAL FS'!H17-'HISTORICAL FS'!H23)/(SUM('HISTORICAL FS'!H46,'HISTORICAL FS'!H47,'HISTORICAL FS'!H48)),0)</f>
        <v>0.19811116746678625</v>
      </c>
      <c r="H20" s="60">
        <f>IFERROR(('HISTORICAL FS'!I17-'HISTORICAL FS'!I23)/(SUM('HISTORICAL FS'!I46,'HISTORICAL FS'!I47,'HISTORICAL FS'!I48)),0)</f>
        <v>0.10899324999836636</v>
      </c>
      <c r="I20" s="60">
        <f>IFERROR(('HISTORICAL FS'!J17-'HISTORICAL FS'!J23)/(SUM('HISTORICAL FS'!J46,'HISTORICAL FS'!J47,'HISTORICAL FS'!J48)),0)</f>
        <v>7.5203693348261422E-2</v>
      </c>
      <c r="J20" s="60">
        <f>IFERROR(('HISTORICAL FS'!K17-'HISTORICAL FS'!K23)/(SUM('HISTORICAL FS'!K46,'HISTORICAL FS'!K47,'HISTORICAL FS'!K48)),0)</f>
        <v>9.213304503317582E-2</v>
      </c>
      <c r="K20" s="60">
        <f>IFERROR(('HISTORICAL FS'!L17-'HISTORICAL FS'!L23)/(SUM('HISTORICAL FS'!L46,'HISTORICAL FS'!L47,'HISTORICAL FS'!L48)),0)</f>
        <v>8.7905057114318244E-2</v>
      </c>
      <c r="L20" s="80"/>
      <c r="M20" s="72">
        <f t="shared" si="2"/>
        <v>0.13287087205023862</v>
      </c>
      <c r="N20" s="72">
        <f t="shared" si="3"/>
        <v>0.14140708956440265</v>
      </c>
    </row>
    <row r="21" spans="1:14" x14ac:dyDescent="0.3">
      <c r="A21" s="55" t="s">
        <v>189</v>
      </c>
      <c r="B21" s="57">
        <f>IFERROR('HISTORICAL FS'!C43,0)</f>
        <v>0.62750063307166259</v>
      </c>
      <c r="C21" s="57">
        <f>IFERROR('HISTORICAL FS'!D43,0)</f>
        <v>0.80621707060063108</v>
      </c>
      <c r="D21" s="57">
        <f>IFERROR('HISTORICAL FS'!E43,0)</f>
        <v>0.91490543119902845</v>
      </c>
      <c r="E21" s="57">
        <f>IFERROR('HISTORICAL FS'!F43,0)</f>
        <v>0.91909376567822343</v>
      </c>
      <c r="F21" s="57">
        <f>IFERROR('HISTORICAL FS'!G43,0)</f>
        <v>0.92007095528773419</v>
      </c>
      <c r="G21" s="57">
        <f>IFERROR('HISTORICAL FS'!H43,0)</f>
        <v>0.8578277680140598</v>
      </c>
      <c r="H21" s="57">
        <f>IFERROR('HISTORICAL FS'!I43,0)</f>
        <v>0.83560278385931175</v>
      </c>
      <c r="I21" s="57">
        <f>IFERROR('HISTORICAL FS'!J43,0)</f>
        <v>0.77405386892384509</v>
      </c>
      <c r="J21" s="57">
        <f>IFERROR('HISTORICAL FS'!K43,0)</f>
        <v>0.63918367346938743</v>
      </c>
      <c r="K21" s="57">
        <f>IFERROR('HISTORICAL FS'!L43,0)</f>
        <v>0.52852111616146291</v>
      </c>
      <c r="L21" s="80"/>
      <c r="M21" s="72">
        <f t="shared" si="2"/>
        <v>0.78229770662653464</v>
      </c>
      <c r="N21" s="72">
        <f t="shared" si="3"/>
        <v>0.79949738146596483</v>
      </c>
    </row>
    <row r="22" spans="1:14" x14ac:dyDescent="0.3">
      <c r="A22" s="55" t="s">
        <v>190</v>
      </c>
      <c r="B22" s="57">
        <f>IFERROR('HISTORICAL FS'!C32/ SUM('HISTORICAL FS'!C46,'HISTORICAL FS'!C47),0)</f>
        <v>2.6928427254377749E-2</v>
      </c>
      <c r="C22" s="57">
        <f>IFERROR('HISTORICAL FS'!D32/ SUM('HISTORICAL FS'!D46,'HISTORICAL FS'!D47),0)</f>
        <v>5.8546636807264608E-2</v>
      </c>
      <c r="D22" s="57">
        <f>IFERROR('HISTORICAL FS'!E32/ SUM('HISTORICAL FS'!E46,'HISTORICAL FS'!E47),0)</f>
        <v>0.13008207156206858</v>
      </c>
      <c r="E22" s="57">
        <f>IFERROR('HISTORICAL FS'!F32/ SUM('HISTORICAL FS'!F46,'HISTORICAL FS'!F47),0)</f>
        <v>0.14165379335624972</v>
      </c>
      <c r="F22" s="57">
        <f>IFERROR('HISTORICAL FS'!G32/ SUM('HISTORICAL FS'!G46,'HISTORICAL FS'!G47),0)</f>
        <v>0.1229678578302433</v>
      </c>
      <c r="G22" s="57">
        <f>IFERROR('HISTORICAL FS'!H32/ SUM('HISTORICAL FS'!H46,'HISTORICAL FS'!H47),0)</f>
        <v>0.14151046630310005</v>
      </c>
      <c r="H22" s="57">
        <f>IFERROR('HISTORICAL FS'!I32/ SUM('HISTORICAL FS'!I46,'HISTORICAL FS'!I47),0)</f>
        <v>7.3923341096593306E-2</v>
      </c>
      <c r="I22" s="57">
        <f>IFERROR('HISTORICAL FS'!J32/ SUM('HISTORICAL FS'!J46,'HISTORICAL FS'!J47),0)</f>
        <v>4.9930924632727997E-2</v>
      </c>
      <c r="J22" s="57">
        <f>IFERROR('HISTORICAL FS'!K32/ SUM('HISTORICAL FS'!K46,'HISTORICAL FS'!K47),0)</f>
        <v>5.8715387212667336E-2</v>
      </c>
      <c r="K22" s="57">
        <f>IFERROR('HISTORICAL FS'!L32/ SUM('HISTORICAL FS'!L46,'HISTORICAL FS'!L47),0)</f>
        <v>6.4091137091484188E-2</v>
      </c>
      <c r="L22" s="80"/>
      <c r="M22" s="72">
        <f t="shared" si="2"/>
        <v>8.683500431467768E-2</v>
      </c>
      <c r="N22" s="72">
        <f t="shared" si="3"/>
        <v>9.3491290654711012E-2</v>
      </c>
    </row>
    <row r="23" spans="1:14" x14ac:dyDescent="0.3">
      <c r="A23" s="55" t="s">
        <v>191</v>
      </c>
      <c r="B23" s="57">
        <f>IFERROR(B21*B22,0)</f>
        <v>1.689760514974625E-2</v>
      </c>
      <c r="C23" s="57">
        <f t="shared" ref="C23:K23" si="5">IFERROR(C21*C22,0)</f>
        <v>4.720129802027196E-2</v>
      </c>
      <c r="D23" s="57">
        <f t="shared" si="5"/>
        <v>0.11901279377375723</v>
      </c>
      <c r="E23" s="57">
        <f t="shared" si="5"/>
        <v>0.13019311835840047</v>
      </c>
      <c r="F23" s="57">
        <f t="shared" si="5"/>
        <v>0.11313915442355824</v>
      </c>
      <c r="G23" s="57">
        <f t="shared" si="5"/>
        <v>0.12139160745941713</v>
      </c>
      <c r="H23" s="57">
        <f t="shared" si="5"/>
        <v>6.1770549612494834E-2</v>
      </c>
      <c r="I23" s="57">
        <f t="shared" si="5"/>
        <v>3.8649225390908024E-2</v>
      </c>
      <c r="J23" s="57">
        <f t="shared" si="5"/>
        <v>3.7529916887770201E-2</v>
      </c>
      <c r="K23" s="57">
        <f t="shared" si="5"/>
        <v>3.3873519311648559E-2</v>
      </c>
      <c r="L23" s="80"/>
      <c r="M23" s="72">
        <f t="shared" si="2"/>
        <v>7.1965878838797279E-2</v>
      </c>
      <c r="N23" s="72">
        <f t="shared" si="3"/>
        <v>7.8084575915358501E-2</v>
      </c>
    </row>
    <row r="24" spans="1:14" x14ac:dyDescent="0.3">
      <c r="A24" s="61" t="s">
        <v>192</v>
      </c>
      <c r="B24" s="63">
        <f>IFERROR(('HISTORICAL FS'!C17-'HISTORICAL FS'!C23)/'HISTORICAL FS'!C20,0)</f>
        <v>2.013709361535446</v>
      </c>
      <c r="C24" s="63">
        <f>IFERROR(('HISTORICAL FS'!D17-'HISTORICAL FS'!D23)/'HISTORICAL FS'!D20,0)</f>
        <v>6.3446134740763549</v>
      </c>
      <c r="D24" s="63">
        <f>IFERROR(('HISTORICAL FS'!E17-'HISTORICAL FS'!E23)/'HISTORICAL FS'!E20,0)</f>
        <v>16.281112241437796</v>
      </c>
      <c r="E24" s="63">
        <f>IFERROR(('HISTORICAL FS'!F17-'HISTORICAL FS'!F23)/'HISTORICAL FS'!F20,0)</f>
        <v>32.51586489252815</v>
      </c>
      <c r="F24" s="63">
        <f>IFERROR(('HISTORICAL FS'!G17-'HISTORICAL FS'!G23)/'HISTORICAL FS'!G20,0)</f>
        <v>32.159024956471299</v>
      </c>
      <c r="G24" s="63">
        <f>IFERROR(('HISTORICAL FS'!H17-'HISTORICAL FS'!H23)/'HISTORICAL FS'!H20,0)</f>
        <v>75.542728635682181</v>
      </c>
      <c r="H24" s="63">
        <f>IFERROR(('HISTORICAL FS'!I17-'HISTORICAL FS'!I23)/'HISTORICAL FS'!I20,0)</f>
        <v>55.711422845691352</v>
      </c>
      <c r="I24" s="63">
        <f>IFERROR(('HISTORICAL FS'!J17-'HISTORICAL FS'!J23)/'HISTORICAL FS'!J20,0)</f>
        <v>46.720422004521531</v>
      </c>
      <c r="J24" s="63">
        <f>IFERROR(('HISTORICAL FS'!K17-'HISTORICAL FS'!K23)/'HISTORICAL FS'!K20,0)</f>
        <v>21.754920787325961</v>
      </c>
      <c r="K24" s="63">
        <f>IFERROR(('HISTORICAL FS'!L17-'HISTORICAL FS'!L23)/'HISTORICAL FS'!L20,0)</f>
        <v>31.557764826876866</v>
      </c>
      <c r="L24" s="80"/>
      <c r="M24" s="72">
        <f t="shared" si="2"/>
        <v>32.06015840261469</v>
      </c>
      <c r="N24" s="72">
        <f t="shared" si="3"/>
        <v>35.398652740512382</v>
      </c>
    </row>
    <row r="25" spans="1:14" x14ac:dyDescent="0.3"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80"/>
      <c r="M25" s="72"/>
      <c r="N25" s="72"/>
    </row>
    <row r="26" spans="1:14" x14ac:dyDescent="0.3">
      <c r="A26" s="80" t="s">
        <v>218</v>
      </c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80"/>
      <c r="M26" s="72"/>
      <c r="N26" s="72"/>
    </row>
    <row r="27" spans="1:14" x14ac:dyDescent="0.3">
      <c r="A27" s="64" t="s">
        <v>193</v>
      </c>
      <c r="B27" s="65">
        <f>IFERROR('HISTORICAL FS'!C5/'HISTORICAL FS'!C58,0)</f>
        <v>9.1527055497773144</v>
      </c>
      <c r="C27" s="65">
        <f>IFERROR('HISTORICAL FS'!D5/'HISTORICAL FS'!D58,0)</f>
        <v>9.0816737868331696</v>
      </c>
      <c r="D27" s="65">
        <f>IFERROR('HISTORICAL FS'!E5/'HISTORICAL FS'!E58,0)</f>
        <v>8.5461824324324329</v>
      </c>
      <c r="E27" s="65">
        <f>IFERROR('HISTORICAL FS'!F5/'HISTORICAL FS'!F58,0)</f>
        <v>6.725761237312712</v>
      </c>
      <c r="F27" s="65">
        <f>IFERROR('HISTORICAL FS'!G5/'HISTORICAL FS'!G58,0)</f>
        <v>7.9387997704478996</v>
      </c>
      <c r="G27" s="65">
        <f>IFERROR('HISTORICAL FS'!H5/'HISTORICAL FS'!H58,0)</f>
        <v>10.667021503087076</v>
      </c>
      <c r="H27" s="65">
        <f>IFERROR('HISTORICAL FS'!I5/'HISTORICAL FS'!I58,0)</f>
        <v>9.1880724685221153</v>
      </c>
      <c r="I27" s="65">
        <f>IFERROR('HISTORICAL FS'!J5/'HISTORICAL FS'!J58,0)</f>
        <v>7.1450769295977619</v>
      </c>
      <c r="J27" s="65">
        <f>IFERROR('HISTORICAL FS'!K5/'HISTORICAL FS'!K58,0)</f>
        <v>6.8656918153104884</v>
      </c>
      <c r="K27" s="65">
        <f>IFERROR('HISTORICAL FS'!L5/'HISTORICAL FS'!L58,0)</f>
        <v>7.6915245074483423</v>
      </c>
      <c r="L27" s="80"/>
      <c r="M27" s="72">
        <f t="shared" si="2"/>
        <v>8.3002510000769316</v>
      </c>
      <c r="N27" s="72">
        <f t="shared" si="3"/>
        <v>8.205533827887999</v>
      </c>
    </row>
    <row r="28" spans="1:14" x14ac:dyDescent="0.3">
      <c r="A28" s="55" t="s">
        <v>194</v>
      </c>
      <c r="B28" s="66">
        <f>IFERROR('HISTORICAL FS'!C5/'HISTORICAL FS'!C49,0)</f>
        <v>3.0275675294200672</v>
      </c>
      <c r="C28" s="66">
        <f>IFERROR('HISTORICAL FS'!D5/'HISTORICAL FS'!D49,0)</f>
        <v>3.1574806148408818</v>
      </c>
      <c r="D28" s="66">
        <f>IFERROR('HISTORICAL FS'!E5/'HISTORICAL FS'!E49,0)</f>
        <v>2.9650940631776361</v>
      </c>
      <c r="E28" s="66">
        <f>IFERROR('HISTORICAL FS'!F5/'HISTORICAL FS'!F49,0)</f>
        <v>3.5731518042590102</v>
      </c>
      <c r="F28" s="66">
        <f>IFERROR('HISTORICAL FS'!G5/'HISTORICAL FS'!G49,0)</f>
        <v>3.1424746739935854</v>
      </c>
      <c r="G28" s="66">
        <f>IFERROR('HISTORICAL FS'!H5/'HISTORICAL FS'!H49,0)</f>
        <v>3.9155423321034033</v>
      </c>
      <c r="H28" s="66">
        <f>IFERROR('HISTORICAL FS'!I5/'HISTORICAL FS'!I49,0)</f>
        <v>5.0021979682530953</v>
      </c>
      <c r="I28" s="66">
        <f>IFERROR('HISTORICAL FS'!J5/'HISTORICAL FS'!J49,0)</f>
        <v>4.5787941178068357</v>
      </c>
      <c r="J28" s="66">
        <f>IFERROR('HISTORICAL FS'!K5/'HISTORICAL FS'!K49,0)</f>
        <v>3.8244629182449805</v>
      </c>
      <c r="K28" s="66">
        <f>IFERROR('HISTORICAL FS'!L5/'HISTORICAL FS'!L49,0)</f>
        <v>3.9058378547380377</v>
      </c>
      <c r="L28" s="80"/>
      <c r="M28" s="72">
        <f t="shared" si="2"/>
        <v>3.7092603876837535</v>
      </c>
      <c r="N28" s="72">
        <f t="shared" si="3"/>
        <v>3.785004038601941</v>
      </c>
    </row>
    <row r="29" spans="1:14" x14ac:dyDescent="0.3">
      <c r="A29" s="55" t="s">
        <v>195</v>
      </c>
      <c r="B29" s="66">
        <f>IFERROR('HISTORICAL FS'!C5/'HISTORICAL FS'!C59,0)</f>
        <v>7.5137709081355633</v>
      </c>
      <c r="C29" s="66">
        <f>IFERROR('HISTORICAL FS'!D5/'HISTORICAL FS'!D59,0)</f>
        <v>9.2057073062402832</v>
      </c>
      <c r="D29" s="66">
        <f>IFERROR('HISTORICAL FS'!E5/'HISTORICAL FS'!E59,0)</f>
        <v>8.9430293602955473</v>
      </c>
      <c r="E29" s="66">
        <f>IFERROR('HISTORICAL FS'!F5/'HISTORICAL FS'!F59,0)</f>
        <v>7.3033285904224305</v>
      </c>
      <c r="F29" s="66">
        <f>IFERROR('HISTORICAL FS'!G5/'HISTORICAL FS'!G59,0)</f>
        <v>6.5772618185111398</v>
      </c>
      <c r="G29" s="66">
        <f>IFERROR('HISTORICAL FS'!H5/'HISTORICAL FS'!H59,0)</f>
        <v>9.7672106494374518</v>
      </c>
      <c r="H29" s="66">
        <f>IFERROR('HISTORICAL FS'!I5/'HISTORICAL FS'!I59,0)</f>
        <v>8.6026389151389147</v>
      </c>
      <c r="I29" s="66">
        <f>IFERROR('HISTORICAL FS'!J5/'HISTORICAL FS'!J59,0)</f>
        <v>6.9219253005715791</v>
      </c>
      <c r="J29" s="66">
        <f>IFERROR('HISTORICAL FS'!K5/'HISTORICAL FS'!K59,0)</f>
        <v>5.7125151501025542</v>
      </c>
      <c r="K29" s="66">
        <f>IFERROR('HISTORICAL FS'!L5/'HISTORICAL FS'!L59,0)</f>
        <v>7.3223396879177116</v>
      </c>
      <c r="L29" s="80"/>
      <c r="M29" s="72">
        <f t="shared" si="2"/>
        <v>7.7869727686773187</v>
      </c>
      <c r="N29" s="72">
        <f t="shared" si="3"/>
        <v>7.8173285309597356</v>
      </c>
    </row>
    <row r="30" spans="1:14" x14ac:dyDescent="0.3">
      <c r="A30" s="55" t="s">
        <v>196</v>
      </c>
      <c r="B30" s="66">
        <f>IFERROR('HISTORICAL FS'!C5/'HISTORICAL FS'!C52,0)</f>
        <v>2.2299840158022635</v>
      </c>
      <c r="C30" s="66">
        <f>IFERROR('HISTORICAL FS'!D5/'HISTORICAL FS'!D52,0)</f>
        <v>2.6217349507317502</v>
      </c>
      <c r="D30" s="66">
        <f>IFERROR('HISTORICAL FS'!E5/'HISTORICAL FS'!E52,0)</f>
        <v>3.1863836755258852</v>
      </c>
      <c r="E30" s="66">
        <f>IFERROR('HISTORICAL FS'!F5/'HISTORICAL FS'!F52,0)</f>
        <v>3.8015456250796795</v>
      </c>
      <c r="F30" s="66">
        <f>IFERROR('HISTORICAL FS'!G5/'HISTORICAL FS'!G52,0)</f>
        <v>3.4128617665544727</v>
      </c>
      <c r="G30" s="66">
        <f>IFERROR('HISTORICAL FS'!H5/'HISTORICAL FS'!H52,0)</f>
        <v>3.9050789709558353</v>
      </c>
      <c r="H30" s="66">
        <f>IFERROR('HISTORICAL FS'!I5/'HISTORICAL FS'!I52,0)</f>
        <v>3.9557046250780803</v>
      </c>
      <c r="I30" s="66">
        <f>IFERROR('HISTORICAL FS'!J5/'HISTORICAL FS'!J52,0)</f>
        <v>4.4569124606720782</v>
      </c>
      <c r="J30" s="66">
        <f>IFERROR('HISTORICAL FS'!K5/'HISTORICAL FS'!K52,0)</f>
        <v>4.5276315303332595</v>
      </c>
      <c r="K30" s="66">
        <f>IFERROR('HISTORICAL FS'!L5/'HISTORICAL FS'!L52,0)</f>
        <v>4.989275173146047</v>
      </c>
      <c r="L30" s="80"/>
      <c r="M30" s="72">
        <f t="shared" si="2"/>
        <v>3.7087112793879351</v>
      </c>
      <c r="N30" s="72">
        <f t="shared" si="3"/>
        <v>3.8730143086752324</v>
      </c>
    </row>
    <row r="31" spans="1:14" x14ac:dyDescent="0.3">
      <c r="A31" s="67" t="s">
        <v>197</v>
      </c>
      <c r="B31" s="68">
        <f>IFERROR('HISTORICAL FS'!C5/SUM('HISTORICAL FS'!C46,'HISTORICAL FS'!C47),0)</f>
        <v>2.3402910370410779</v>
      </c>
      <c r="C31" s="68">
        <f>IFERROR('HISTORICAL FS'!D5/SUM('HISTORICAL FS'!D46,'HISTORICAL FS'!D47),0)</f>
        <v>2.5573775548604814</v>
      </c>
      <c r="D31" s="68">
        <f>IFERROR('HISTORICAL FS'!E5/SUM('HISTORICAL FS'!E46,'HISTORICAL FS'!E47),0)</f>
        <v>2.2839820507958866</v>
      </c>
      <c r="E31" s="68">
        <f>IFERROR('HISTORICAL FS'!F5/SUM('HISTORICAL FS'!F46,'HISTORICAL FS'!F47),0)</f>
        <v>2.3422642313979107</v>
      </c>
      <c r="F31" s="68">
        <f>IFERROR('HISTORICAL FS'!G5/SUM('HISTORICAL FS'!G46,'HISTORICAL FS'!G47),0)</f>
        <v>1.8637614678899082</v>
      </c>
      <c r="G31" s="68">
        <f>IFERROR('HISTORICAL FS'!H5/SUM('HISTORICAL FS'!H46,'HISTORICAL FS'!H47),0)</f>
        <v>1.395590643298124</v>
      </c>
      <c r="H31" s="68">
        <f>IFERROR('HISTORICAL FS'!I5/SUM('HISTORICAL FS'!I46,'HISTORICAL FS'!I47),0)</f>
        <v>0.95825602968460111</v>
      </c>
      <c r="I31" s="68">
        <f>IFERROR('HISTORICAL FS'!J5/SUM('HISTORICAL FS'!J46,'HISTORICAL FS'!J47),0)</f>
        <v>1.0295576611361585</v>
      </c>
      <c r="J31" s="68">
        <f>IFERROR('HISTORICAL FS'!K5/SUM('HISTORICAL FS'!K46,'HISTORICAL FS'!K47),0)</f>
        <v>1.0442114882979301</v>
      </c>
      <c r="K31" s="68">
        <f>IFERROR('HISTORICAL FS'!L5/SUM('HISTORICAL FS'!L46,'HISTORICAL FS'!L47),0)</f>
        <v>0.98814291777597718</v>
      </c>
      <c r="L31" s="83"/>
      <c r="M31" s="85">
        <f t="shared" si="2"/>
        <v>1.6803435082178058</v>
      </c>
      <c r="N31" s="85">
        <f t="shared" si="3"/>
        <v>1.60701600501522</v>
      </c>
    </row>
    <row r="32" spans="1:14" x14ac:dyDescent="0.3">
      <c r="L32" s="80"/>
      <c r="M32" s="72"/>
      <c r="N32" s="72"/>
    </row>
    <row r="33" spans="1:15" x14ac:dyDescent="0.3">
      <c r="A33" s="64" t="s">
        <v>198</v>
      </c>
      <c r="B33" s="69">
        <f>IFERROR(365/B27,0)</f>
        <v>39.878918644867852</v>
      </c>
      <c r="C33" s="69">
        <f t="shared" ref="C33:K33" si="6">IFERROR(365/C27,0)</f>
        <v>40.190829198157921</v>
      </c>
      <c r="D33" s="69">
        <f t="shared" si="6"/>
        <v>42.709128068087928</v>
      </c>
      <c r="E33" s="69">
        <f t="shared" si="6"/>
        <v>54.268949955445684</v>
      </c>
      <c r="F33" s="69">
        <f t="shared" si="6"/>
        <v>45.976723252135507</v>
      </c>
      <c r="G33" s="69">
        <f t="shared" si="6"/>
        <v>34.217611719857096</v>
      </c>
      <c r="H33" s="69">
        <f t="shared" si="6"/>
        <v>39.725415885700954</v>
      </c>
      <c r="I33" s="69">
        <f t="shared" si="6"/>
        <v>51.084124579264397</v>
      </c>
      <c r="J33" s="69">
        <f t="shared" si="6"/>
        <v>53.162887268847435</v>
      </c>
      <c r="K33" s="69">
        <f t="shared" si="6"/>
        <v>47.454831567726288</v>
      </c>
      <c r="L33" s="80"/>
      <c r="M33" s="72">
        <f t="shared" si="2"/>
        <v>44.866942014009105</v>
      </c>
      <c r="N33" s="72">
        <f t="shared" si="3"/>
        <v>45.421166832802584</v>
      </c>
    </row>
    <row r="34" spans="1:15" x14ac:dyDescent="0.3">
      <c r="A34" s="55" t="s">
        <v>199</v>
      </c>
      <c r="B34" s="70">
        <f>IFERROR(365/B28,0)</f>
        <v>120.55883029962209</v>
      </c>
      <c r="C34" s="70">
        <f t="shared" ref="C34:K34" si="7">IFERROR(365/C28,0)</f>
        <v>115.59849276173429</v>
      </c>
      <c r="D34" s="70">
        <f t="shared" si="7"/>
        <v>123.09896152462574</v>
      </c>
      <c r="E34" s="70">
        <f t="shared" si="7"/>
        <v>102.15071175116016</v>
      </c>
      <c r="F34" s="70">
        <f t="shared" si="7"/>
        <v>116.15049852928267</v>
      </c>
      <c r="G34" s="70">
        <f t="shared" si="7"/>
        <v>93.218248978532799</v>
      </c>
      <c r="H34" s="70">
        <f t="shared" si="7"/>
        <v>72.967923764014486</v>
      </c>
      <c r="I34" s="70">
        <f t="shared" si="7"/>
        <v>79.715311632056697</v>
      </c>
      <c r="J34" s="70">
        <f t="shared" si="7"/>
        <v>95.438237421189584</v>
      </c>
      <c r="K34" s="70">
        <f t="shared" si="7"/>
        <v>93.449859818740563</v>
      </c>
      <c r="L34" s="80"/>
      <c r="M34" s="75">
        <f t="shared" si="2"/>
        <v>101.23470764809591</v>
      </c>
      <c r="N34" s="72">
        <f t="shared" si="3"/>
        <v>99.087582909037437</v>
      </c>
    </row>
    <row r="35" spans="1:15" x14ac:dyDescent="0.3">
      <c r="A35" s="55" t="s">
        <v>200</v>
      </c>
      <c r="B35" s="70">
        <f>IFERROR(365/B29,0)</f>
        <v>48.577472545083175</v>
      </c>
      <c r="C35" s="70">
        <f t="shared" ref="C35:K35" si="8">IFERROR(365/C29,0)</f>
        <v>39.649316218491656</v>
      </c>
      <c r="D35" s="70">
        <f t="shared" si="8"/>
        <v>40.813910510066528</v>
      </c>
      <c r="E35" s="70">
        <f t="shared" si="8"/>
        <v>49.977211826215822</v>
      </c>
      <c r="F35" s="70">
        <f t="shared" si="8"/>
        <v>55.494217817624161</v>
      </c>
      <c r="G35" s="70">
        <f t="shared" si="8"/>
        <v>37.369932225330103</v>
      </c>
      <c r="H35" s="70">
        <f t="shared" si="8"/>
        <v>42.428841149856169</v>
      </c>
      <c r="I35" s="70">
        <f t="shared" si="8"/>
        <v>52.730993784324724</v>
      </c>
      <c r="J35" s="70">
        <f t="shared" si="8"/>
        <v>63.894797722058961</v>
      </c>
      <c r="K35" s="70">
        <f t="shared" si="8"/>
        <v>49.847455261092477</v>
      </c>
      <c r="L35" s="80"/>
      <c r="M35" s="72">
        <f t="shared" si="2"/>
        <v>48.07841490601438</v>
      </c>
      <c r="N35" s="72">
        <f t="shared" si="3"/>
        <v>48.022964057228954</v>
      </c>
    </row>
    <row r="36" spans="1:15" x14ac:dyDescent="0.3">
      <c r="A36" s="67" t="s">
        <v>201</v>
      </c>
      <c r="B36" s="71">
        <f>IFERROR(B33+B35-B34,0)</f>
        <v>-32.102439109671053</v>
      </c>
      <c r="C36" s="71">
        <f t="shared" ref="C36:K36" si="9">IFERROR(C33+C35-C34,0)</f>
        <v>-35.758347345084715</v>
      </c>
      <c r="D36" s="71">
        <f t="shared" si="9"/>
        <v>-39.57592294647128</v>
      </c>
      <c r="E36" s="71">
        <f t="shared" si="9"/>
        <v>2.0954500305013397</v>
      </c>
      <c r="F36" s="71">
        <f t="shared" si="9"/>
        <v>-14.679557459522997</v>
      </c>
      <c r="G36" s="71">
        <f t="shared" si="9"/>
        <v>-21.630705033345592</v>
      </c>
      <c r="H36" s="71">
        <f t="shared" si="9"/>
        <v>9.1863332715426367</v>
      </c>
      <c r="I36" s="71">
        <f t="shared" si="9"/>
        <v>24.099806731532425</v>
      </c>
      <c r="J36" s="71">
        <f t="shared" si="9"/>
        <v>21.619447569716812</v>
      </c>
      <c r="K36" s="71">
        <f t="shared" si="9"/>
        <v>3.8524270100782019</v>
      </c>
      <c r="L36" s="80"/>
      <c r="M36" s="72">
        <f t="shared" si="2"/>
        <v>-8.2893507280724243</v>
      </c>
      <c r="N36" s="72">
        <f t="shared" si="3"/>
        <v>-5.6434520190059079</v>
      </c>
    </row>
    <row r="37" spans="1:15" x14ac:dyDescent="0.3">
      <c r="L37" s="80"/>
      <c r="M37" s="72"/>
      <c r="N37" s="72"/>
    </row>
    <row r="38" spans="1:15" x14ac:dyDescent="0.3">
      <c r="A38" s="64" t="s">
        <v>203</v>
      </c>
      <c r="B38" s="72">
        <f>IFERROR('HISTORICAL FS'!C76/'HISTORICAL FS'!C5,0)</f>
        <v>7.2844035093342349E-2</v>
      </c>
      <c r="C38" s="72">
        <f>IFERROR('HISTORICAL FS'!D76/'HISTORICAL FS'!D5,0)</f>
        <v>9.2875597358955744E-2</v>
      </c>
      <c r="D38" s="72">
        <f>IFERROR('HISTORICAL FS'!E76/'HISTORICAL FS'!E5,0)</f>
        <v>0.11266291650689615</v>
      </c>
      <c r="E38" s="72">
        <f>IFERROR('HISTORICAL FS'!F76/'HISTORICAL FS'!F5,0)</f>
        <v>-0.12392167383687691</v>
      </c>
      <c r="F38" s="72">
        <f>IFERROR('HISTORICAL FS'!G76/'HISTORICAL FS'!G5,0)</f>
        <v>0.22960057417354982</v>
      </c>
      <c r="G38" s="72">
        <f>IFERROR('HISTORICAL FS'!H76/'HISTORICAL FS'!H5,0)</f>
        <v>0.23280613365039446</v>
      </c>
      <c r="H38" s="72">
        <f>IFERROR('HISTORICAL FS'!I76/'HISTORICAL FS'!I5,0)</f>
        <v>-4.7647490954528915E-2</v>
      </c>
      <c r="I38" s="72">
        <f>IFERROR('HISTORICAL FS'!J76/'HISTORICAL FS'!J5,0)</f>
        <v>3.6779143615437273E-3</v>
      </c>
      <c r="J38" s="72">
        <f>IFERROR('HISTORICAL FS'!K76/'HISTORICAL FS'!K5,0)</f>
        <v>7.1402414829669539E-2</v>
      </c>
      <c r="K38" s="72">
        <f>IFERROR('HISTORICAL FS'!L76/'HISTORICAL FS'!L5,0)</f>
        <v>0.1675146526511439</v>
      </c>
      <c r="L38" s="80"/>
      <c r="M38" s="72">
        <f t="shared" si="2"/>
        <v>8.1181507383408985E-2</v>
      </c>
      <c r="N38" s="72">
        <f t="shared" si="3"/>
        <v>8.2107893193416395E-2</v>
      </c>
    </row>
    <row r="39" spans="1:15" x14ac:dyDescent="0.3">
      <c r="A39" s="55" t="s">
        <v>204</v>
      </c>
      <c r="B39" s="57">
        <f>IFERROR('HISTORICAL FS'!C76/'HISTORICAL FS'!C63,0)</f>
        <v>8.4226697841775083E-2</v>
      </c>
      <c r="C39" s="57">
        <f>IFERROR('HISTORICAL FS'!D76/'HISTORICAL FS'!D63,0)</f>
        <v>0.12034183332187222</v>
      </c>
      <c r="D39" s="57">
        <f>IFERROR('HISTORICAL FS'!E76/'HISTORICAL FS'!E63,0)</f>
        <v>0.14348538588758297</v>
      </c>
      <c r="E39" s="57">
        <f>IFERROR('HISTORICAL FS'!F76/'HISTORICAL FS'!F63,0)</f>
        <v>-0.16486189629421902</v>
      </c>
      <c r="F39" s="57">
        <f>IFERROR('HISTORICAL FS'!G76/'HISTORICAL FS'!G63,0)</f>
        <v>0.26605716838586663</v>
      </c>
      <c r="G39" s="57">
        <f>IFERROR('HISTORICAL FS'!H76/'HISTORICAL FS'!H63,0)</f>
        <v>0.2374178015373275</v>
      </c>
      <c r="H39" s="57">
        <f>IFERROR('HISTORICAL FS'!I76/'HISTORICAL FS'!I63,0)</f>
        <v>-3.8099462654840821E-2</v>
      </c>
      <c r="I39" s="57">
        <f>IFERROR('HISTORICAL FS'!J76/'HISTORICAL FS'!J63,0)</f>
        <v>3.0739269515965579E-3</v>
      </c>
      <c r="J39" s="57">
        <f>IFERROR('HISTORICAL FS'!K76/'HISTORICAL FS'!K63,0)</f>
        <v>5.644997403301194E-2</v>
      </c>
      <c r="K39" s="57">
        <f>IFERROR('HISTORICAL FS'!L76/'HISTORICAL FS'!L63,0)</f>
        <v>0.13104548484920225</v>
      </c>
      <c r="L39" s="80"/>
      <c r="M39" s="72">
        <f t="shared" si="2"/>
        <v>8.3913691385917533E-2</v>
      </c>
      <c r="N39" s="72">
        <f t="shared" si="3"/>
        <v>8.3878912890822235E-2</v>
      </c>
    </row>
    <row r="40" spans="1:15" x14ac:dyDescent="0.3">
      <c r="A40" s="67" t="s">
        <v>205</v>
      </c>
      <c r="B40" s="74">
        <f>IFERROR('HISTORICAL FS'!C76/'HISTORICAL FS'!C48,0)</f>
        <v>0.67912637183527114</v>
      </c>
      <c r="C40" s="74">
        <f>IFERROR('HISTORICAL FS'!D76/'HISTORICAL FS'!D48,0)</f>
        <v>1.4504765851636967</v>
      </c>
      <c r="D40" s="74">
        <f>IFERROR('HISTORICAL FS'!E76/'HISTORICAL FS'!E48,0)</f>
        <v>11.15678214914856</v>
      </c>
      <c r="E40" s="74">
        <f>IFERROR('HISTORICAL FS'!F76/'HISTORICAL FS'!F48,0)</f>
        <v>-2.761958997722096</v>
      </c>
      <c r="F40" s="74">
        <f>IFERROR('HISTORICAL FS'!G76/'HISTORICAL FS'!G48,0)</f>
        <v>27.984057058946927</v>
      </c>
      <c r="G40" s="74">
        <f>IFERROR('HISTORICAL FS'!H76/'HISTORICAL FS'!H48,0)</f>
        <v>26.942748721333114</v>
      </c>
      <c r="H40" s="74">
        <f>IFERROR('HISTORICAL FS'!I76/'HISTORICAL FS'!I48,0)</f>
        <v>-6.6794995187680462</v>
      </c>
      <c r="I40" s="74">
        <f>IFERROR('HISTORICAL FS'!J76/'HISTORICAL FS'!J48,0)</f>
        <v>0.54101221640488661</v>
      </c>
      <c r="J40" s="74">
        <f>IFERROR('HISTORICAL FS'!K76/'HISTORICAL FS'!K48,0)</f>
        <v>1.5608972929581235</v>
      </c>
      <c r="K40" s="74">
        <f>IFERROR('HISTORICAL FS'!L76/'HISTORICAL FS'!L48,0)</f>
        <v>16.314888762122074</v>
      </c>
      <c r="L40" s="80"/>
      <c r="M40" s="72">
        <f t="shared" si="2"/>
        <v>7.7188530641422517</v>
      </c>
      <c r="N40" s="72">
        <f t="shared" si="3"/>
        <v>8.5010449188430268</v>
      </c>
    </row>
    <row r="41" spans="1:15" x14ac:dyDescent="0.3">
      <c r="L41" s="80"/>
      <c r="M41" s="72"/>
      <c r="N41" s="72"/>
    </row>
    <row r="42" spans="1:15" x14ac:dyDescent="0.3">
      <c r="A42" s="80" t="s">
        <v>209</v>
      </c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80"/>
      <c r="M42" s="72"/>
      <c r="N42" s="72"/>
    </row>
    <row r="43" spans="1:15" x14ac:dyDescent="0.3">
      <c r="A43" s="55" t="s">
        <v>210</v>
      </c>
      <c r="B43" s="57">
        <f>IFERROR('HISTORICAL FS'!C32/'HISTORICAL FS'!C63,0)</f>
        <v>1.3304449191086752E-2</v>
      </c>
      <c r="C43" s="57">
        <f>IFERROR('HISTORICAL FS'!D32/'HISTORICAL FS'!D63,0)</f>
        <v>2.96634804733652E-2</v>
      </c>
      <c r="D43" s="57">
        <f>IFERROR('HISTORICAL FS'!E32/'HISTORICAL FS'!E63,0)</f>
        <v>7.2535638497380914E-2</v>
      </c>
      <c r="E43" s="57">
        <f>IFERROR('HISTORICAL FS'!F32/'HISTORICAL FS'!F63,0)</f>
        <v>8.0457279311319185E-2</v>
      </c>
      <c r="F43" s="57">
        <f>IFERROR('HISTORICAL FS'!G32/'HISTORICAL FS'!G63,0)</f>
        <v>7.6454538927315019E-2</v>
      </c>
      <c r="G43" s="57">
        <f>IFERROR('HISTORICAL FS'!H32/'HISTORICAL FS'!H63,0)</f>
        <v>0.10340686548893095</v>
      </c>
      <c r="H43" s="57">
        <f>IFERROR('HISTORICAL FS'!I32/'HISTORICAL FS'!I63,0)</f>
        <v>6.1684896582467154E-2</v>
      </c>
      <c r="I43" s="57">
        <f>IFERROR('HISTORICAL FS'!J32/'HISTORICAL FS'!J63,0)</f>
        <v>4.0533197419487965E-2</v>
      </c>
      <c r="J43" s="57">
        <f>IFERROR('HISTORICAL FS'!K32/'HISTORICAL FS'!K63,0)</f>
        <v>4.4454354550996861E-2</v>
      </c>
      <c r="K43" s="57">
        <f>IFERROR('HISTORICAL FS'!L32/'HISTORICAL FS'!L63,0)</f>
        <v>5.0739650957754505E-2</v>
      </c>
      <c r="L43" s="80"/>
      <c r="M43" s="72">
        <f t="shared" si="2"/>
        <v>5.7323435140010447E-2</v>
      </c>
      <c r="N43" s="72">
        <f t="shared" si="3"/>
        <v>6.2214433578779746E-2</v>
      </c>
    </row>
    <row r="44" spans="1:15" x14ac:dyDescent="0.3">
      <c r="A44" s="55" t="s">
        <v>211</v>
      </c>
      <c r="B44" s="57">
        <f>IFERROR(('HISTORICAL FS'!C17-'HISTORICAL FS'!C23)/'HISTORICAL FS'!C63,0)</f>
        <v>3.4640756288365215E-2</v>
      </c>
      <c r="C44" s="57">
        <f>IFERROR(('HISTORICAL FS'!D17-'HISTORICAL FS'!D23)/'HISTORICAL FS'!D63,0)</f>
        <v>6.3878070279630467E-2</v>
      </c>
      <c r="D44" s="57">
        <f>IFERROR(('HISTORICAL FS'!E17-'HISTORICAL FS'!E23)/'HISTORICAL FS'!E63,0)</f>
        <v>0.12086252337930753</v>
      </c>
      <c r="E44" s="57">
        <f>IFERROR(('HISTORICAL FS'!F17-'HISTORICAL FS'!F23)/'HISTORICAL FS'!F63,0)</f>
        <v>0.13498280209986468</v>
      </c>
      <c r="F44" s="57">
        <f>IFERROR(('HISTORICAL FS'!G17-'HISTORICAL FS'!G23)/'HISTORICAL FS'!G63,0)</f>
        <v>0.11051145202594365</v>
      </c>
      <c r="G44" s="57">
        <f>IFERROR(('HISTORICAL FS'!H17-'HISTORICAL FS'!H23)/'HISTORICAL FS'!H63,0)</f>
        <v>0.14651280791256979</v>
      </c>
      <c r="H44" s="57">
        <f>IFERROR(('HISTORICAL FS'!I17-'HISTORICAL FS'!I23)/'HISTORICAL FS'!I63,0)</f>
        <v>9.1570466438435819E-2</v>
      </c>
      <c r="I44" s="57">
        <f>IFERROR(('HISTORICAL FS'!J17-'HISTORICAL FS'!J23)/'HISTORICAL FS'!J63,0)</f>
        <v>6.1476555853252783E-2</v>
      </c>
      <c r="J44" s="57">
        <f>IFERROR(('HISTORICAL FS'!K17-'HISTORICAL FS'!K23)/'HISTORICAL FS'!K63,0)</f>
        <v>7.3087394236941466E-2</v>
      </c>
      <c r="K44" s="57">
        <f>IFERROR(('HISTORICAL FS'!L17-'HISTORICAL FS'!L23)/'HISTORICAL FS'!L63,0)</f>
        <v>7.0298724139326585E-2</v>
      </c>
      <c r="L44" s="80"/>
      <c r="M44" s="72">
        <f t="shared" si="2"/>
        <v>9.078215526536379E-2</v>
      </c>
      <c r="N44" s="72">
        <f t="shared" si="3"/>
        <v>9.7020088485030298E-2</v>
      </c>
    </row>
    <row r="45" spans="1:15" x14ac:dyDescent="0.3">
      <c r="A45" s="67" t="s">
        <v>212</v>
      </c>
      <c r="B45" s="73">
        <f>IFERROR((('HISTORICAL FS'!C17-'HISTORICAL FS'!C23)-('HISTORICAL FS'!C20-('HISTORICAL FS'!C20*'HISTORICAL FS'!C30)))/'HISTORICAL FS'!C63,0)</f>
        <v>2.1516235892366547E-2</v>
      </c>
      <c r="C45" s="73">
        <f>IFERROR((('HISTORICAL FS'!D17-'HISTORICAL FS'!D23)-('HISTORICAL FS'!D20-('HISTORICAL FS'!D20*'HISTORICAL FS'!D30)))/'HISTORICAL FS'!D63,0)</f>
        <v>5.8327906433873304E-2</v>
      </c>
      <c r="D45" s="73">
        <f>IFERROR((('HISTORICAL FS'!E17-'HISTORICAL FS'!E23)-('HISTORICAL FS'!E20-('HISTORICAL FS'!E20*'HISTORICAL FS'!E30)))/'HISTORICAL FS'!E63,0)</f>
        <v>0.11611577213821095</v>
      </c>
      <c r="E45" s="73">
        <f>IFERROR((('HISTORICAL FS'!F17-'HISTORICAL FS'!F23)-('HISTORICAL FS'!F20-('HISTORICAL FS'!F20*'HISTORICAL FS'!F30)))/'HISTORICAL FS'!F63,0)</f>
        <v>0.13242988852488632</v>
      </c>
      <c r="F45" s="73">
        <f>IFERROR((('HISTORICAL FS'!G17-'HISTORICAL FS'!G23)-('HISTORICAL FS'!G20-('HISTORICAL FS'!G20*'HISTORICAL FS'!G30)))/'HISTORICAL FS'!G63,0)</f>
        <v>0.10805776359910356</v>
      </c>
      <c r="G45" s="73">
        <f>IFERROR((('HISTORICAL FS'!H17-'HISTORICAL FS'!H23)-('HISTORICAL FS'!H20-('HISTORICAL FS'!H20*'HISTORICAL FS'!H30)))/'HISTORICAL FS'!H63,0)</f>
        <v>0.14512559191737437</v>
      </c>
      <c r="H45" s="73">
        <f>IFERROR((('HISTORICAL FS'!I17-'HISTORICAL FS'!I23)-('HISTORICAL FS'!I20-('HISTORICAL FS'!I20*'HISTORICAL FS'!I30)))/'HISTORICAL FS'!I63,0)</f>
        <v>9.0443007246660753E-2</v>
      </c>
      <c r="I45" s="73">
        <f>IFERROR((('HISTORICAL FS'!J17-'HISTORICAL FS'!J23)-('HISTORICAL FS'!J20-('HISTORICAL FS'!J20*'HISTORICAL FS'!J30)))/'HISTORICAL FS'!J63,0)</f>
        <v>6.0590011161791288E-2</v>
      </c>
      <c r="J45" s="73">
        <f>IFERROR((('HISTORICAL FS'!K17-'HISTORICAL FS'!K23)-('HISTORICAL FS'!K20-('HISTORICAL FS'!K20*'HISTORICAL FS'!K30)))/'HISTORICAL FS'!K63,0)</f>
        <v>7.0945523641215411E-2</v>
      </c>
      <c r="K45" s="73">
        <f>IFERROR((('HISTORICAL FS'!L17-'HISTORICAL FS'!L23)-('HISTORICAL FS'!L20-('HISTORICAL FS'!L20*'HISTORICAL FS'!L30)))/'HISTORICAL FS'!L63,0)</f>
        <v>6.8638273800592162E-2</v>
      </c>
      <c r="L45" s="80"/>
      <c r="M45" s="72">
        <f t="shared" si="2"/>
        <v>8.7218997435607473E-2</v>
      </c>
      <c r="N45" s="72">
        <f t="shared" si="3"/>
        <v>9.4519304273745358E-2</v>
      </c>
    </row>
    <row r="46" spans="1:15" x14ac:dyDescent="0.3">
      <c r="L46" s="80"/>
      <c r="M46" s="72"/>
      <c r="N46" s="72"/>
    </row>
    <row r="47" spans="1:15" x14ac:dyDescent="0.3">
      <c r="A47" s="80" t="s">
        <v>213</v>
      </c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80"/>
      <c r="M47" s="72"/>
      <c r="N47" s="72"/>
      <c r="O47" s="64"/>
    </row>
    <row r="48" spans="1:15" x14ac:dyDescent="0.3">
      <c r="A48" s="55" t="s">
        <v>57</v>
      </c>
      <c r="B48" s="76">
        <f>IFERROR('HISTORICAL FS'!C37,0)</f>
        <v>3.2210440456769889</v>
      </c>
      <c r="C48" s="76">
        <f>IFERROR('HISTORICAL FS'!D37,0)</f>
        <v>7.7406199021206694</v>
      </c>
      <c r="D48" s="76">
        <f>IFERROR('HISTORICAL FS'!E37,0)</f>
        <v>23.503262642740669</v>
      </c>
      <c r="E48" s="76">
        <f>IFERROR('HISTORICAL FS'!F37,0)</f>
        <v>30.889885807504083</v>
      </c>
      <c r="F48" s="76">
        <f>IFERROR('HISTORICAL FS'!G37,0)</f>
        <v>31.267536704730873</v>
      </c>
      <c r="G48" s="76">
        <f>IFERROR('HISTORICAL FS'!H37,0)</f>
        <v>52.763353115727021</v>
      </c>
      <c r="H48" s="76">
        <f>IFERROR('HISTORICAL FS'!I37,0)</f>
        <v>42.593631539044694</v>
      </c>
      <c r="I48" s="76">
        <f>IFERROR('HISTORICAL FS'!J37,0)</f>
        <v>30.990902198635379</v>
      </c>
      <c r="J48" s="76">
        <f>IFERROR('HISTORICAL FS'!K37,0)</f>
        <v>49.886877828054246</v>
      </c>
      <c r="K48" s="76">
        <f>IFERROR('HISTORICAL FS'!L37,0)</f>
        <v>59.376228775692432</v>
      </c>
      <c r="L48" s="80"/>
      <c r="M48" s="75">
        <f t="shared" si="2"/>
        <v>33.223334255992704</v>
      </c>
      <c r="N48" s="75">
        <f t="shared" si="3"/>
        <v>36.556922057138898</v>
      </c>
    </row>
    <row r="49" spans="1:15" x14ac:dyDescent="0.3">
      <c r="A49" s="55" t="s">
        <v>214</v>
      </c>
      <c r="B49" s="76">
        <f>IFERROR(('HISTORICAL FS'!C32+'HISTORICAL FS'!C23)/'HISTORICAL FS'!C35,0)</f>
        <v>7.9624796084828624</v>
      </c>
      <c r="C49" s="76">
        <f>IFERROR(('HISTORICAL FS'!D32+'HISTORICAL FS'!D23)/'HISTORICAL FS'!D35,0)</f>
        <v>12.913539967373525</v>
      </c>
      <c r="D49" s="76">
        <f>IFERROR(('HISTORICAL FS'!E32+'HISTORICAL FS'!E23)/'HISTORICAL FS'!E35,0)</f>
        <v>29.475530179445396</v>
      </c>
      <c r="E49" s="76">
        <f>IFERROR(('HISTORICAL FS'!F32+'HISTORICAL FS'!F23)/'HISTORICAL FS'!F35,0)</f>
        <v>38.003262642740623</v>
      </c>
      <c r="F49" s="76">
        <f>IFERROR(('HISTORICAL FS'!G32+'HISTORICAL FS'!G23)/'HISTORICAL FS'!G35,0)</f>
        <v>40.01305057096252</v>
      </c>
      <c r="G49" s="76">
        <f>IFERROR(('HISTORICAL FS'!H32+'HISTORICAL FS'!H23)/'HISTORICAL FS'!H35,0)</f>
        <v>61.537833827893188</v>
      </c>
      <c r="H49" s="76">
        <f>IFERROR(('HISTORICAL FS'!I32+'HISTORICAL FS'!I23)/'HISTORICAL FS'!I35,0)</f>
        <v>52.605761940864248</v>
      </c>
      <c r="I49" s="76">
        <f>IFERROR(('HISTORICAL FS'!J32+'HISTORICAL FS'!J23)/'HISTORICAL FS'!J35,0)</f>
        <v>42.367702805155467</v>
      </c>
      <c r="J49" s="76">
        <f>IFERROR(('HISTORICAL FS'!K32+'HISTORICAL FS'!K23)/'HISTORICAL FS'!K35,0)</f>
        <v>70.163800904977322</v>
      </c>
      <c r="K49" s="76">
        <f>IFERROR(('HISTORICAL FS'!L32+'HISTORICAL FS'!L23)/'HISTORICAL FS'!L35,0)</f>
        <v>81.150134048257215</v>
      </c>
      <c r="L49" s="80"/>
      <c r="M49" s="75">
        <f t="shared" si="2"/>
        <v>43.619309649615239</v>
      </c>
      <c r="N49" s="75">
        <f t="shared" si="3"/>
        <v>47.581179654185497</v>
      </c>
    </row>
    <row r="50" spans="1:15" x14ac:dyDescent="0.3">
      <c r="A50" s="55" t="s">
        <v>215</v>
      </c>
      <c r="B50" s="76">
        <f>IFERROR('HISTORICAL FS'!C40,0)</f>
        <v>1.1998368678629692</v>
      </c>
      <c r="C50" s="76">
        <f>IFERROR('HISTORICAL FS'!D40,0)</f>
        <v>1.5</v>
      </c>
      <c r="D50" s="76">
        <f>IFERROR('HISTORICAL FS'!E40,0)</f>
        <v>2</v>
      </c>
      <c r="E50" s="76">
        <f>IFERROR('HISTORICAL FS'!F40,0)</f>
        <v>2.4991843393148452</v>
      </c>
      <c r="F50" s="76">
        <f>IFERROR('HISTORICAL FS'!G40,0)</f>
        <v>2.4991843393148452</v>
      </c>
      <c r="G50" s="76">
        <f>IFERROR('HISTORICAL FS'!H40,0)</f>
        <v>7.5014836795252222</v>
      </c>
      <c r="H50" s="76">
        <f>IFERROR('HISTORICAL FS'!I40,0)</f>
        <v>7.0022744503411678</v>
      </c>
      <c r="I50" s="76">
        <f>IFERROR('HISTORICAL FS'!J40,0)</f>
        <v>7.0022744503411678</v>
      </c>
      <c r="J50" s="76">
        <f>IFERROR('HISTORICAL FS'!K40,0)</f>
        <v>18</v>
      </c>
      <c r="K50" s="76">
        <f>IFERROR('HISTORICAL FS'!L40,0)</f>
        <v>27.994638069705093</v>
      </c>
      <c r="L50" s="80"/>
      <c r="M50" s="75">
        <f t="shared" si="2"/>
        <v>7.7198876196405308</v>
      </c>
      <c r="N50" s="75">
        <f t="shared" si="3"/>
        <v>8.4443377031713709</v>
      </c>
    </row>
    <row r="51" spans="1:15" x14ac:dyDescent="0.3">
      <c r="A51" s="55" t="s">
        <v>216</v>
      </c>
      <c r="B51" s="57">
        <f>IFERROR('HISTORICAL FS'!C41,0)</f>
        <v>0.37249936692833746</v>
      </c>
      <c r="C51" s="57">
        <f>IFERROR('HISTORICAL FS'!D41,0)</f>
        <v>0.19378292939936897</v>
      </c>
      <c r="D51" s="57">
        <f>IFERROR('HISTORICAL FS'!E41,0)</f>
        <v>8.5094568800971535E-2</v>
      </c>
      <c r="E51" s="57">
        <f>IFERROR('HISTORICAL FS'!F41,0)</f>
        <v>8.0906234321776557E-2</v>
      </c>
      <c r="F51" s="57">
        <f>IFERROR('HISTORICAL FS'!G41,0)</f>
        <v>7.9929044712265779E-2</v>
      </c>
      <c r="G51" s="57">
        <f>IFERROR('HISTORICAL FS'!H41,0)</f>
        <v>0.1421722319859402</v>
      </c>
      <c r="H51" s="57">
        <f>IFERROR('HISTORICAL FS'!I41,0)</f>
        <v>0.16439721614068828</v>
      </c>
      <c r="I51" s="57">
        <f>IFERROR('HISTORICAL FS'!J41,0)</f>
        <v>0.22594613107615494</v>
      </c>
      <c r="J51" s="57">
        <f>IFERROR('HISTORICAL FS'!K41,0)</f>
        <v>0.36081632653061263</v>
      </c>
      <c r="K51" s="57">
        <f>IFERROR('HISTORICAL FS'!L41,0)</f>
        <v>0.47147888383853703</v>
      </c>
      <c r="L51" s="80"/>
      <c r="M51" s="72">
        <f t="shared" si="2"/>
        <v>0.21770229337346536</v>
      </c>
      <c r="N51" s="72">
        <f t="shared" si="3"/>
        <v>0.20050261853403512</v>
      </c>
    </row>
    <row r="52" spans="1:15" x14ac:dyDescent="0.3">
      <c r="A52" s="67" t="s">
        <v>217</v>
      </c>
      <c r="B52" s="73">
        <f>IFERROR(B50/'Data Sheet'!B8,0)</f>
        <v>3.6292706226950068E-4</v>
      </c>
      <c r="C52" s="73">
        <f>IFERROR(C50/'Data Sheet'!C8,0)</f>
        <v>0</v>
      </c>
      <c r="D52" s="73">
        <f>IFERROR(D50/'Data Sheet'!D8,0)</f>
        <v>0</v>
      </c>
      <c r="E52" s="73">
        <f>IFERROR(E50/'Data Sheet'!E8,0)</f>
        <v>0</v>
      </c>
      <c r="F52" s="73">
        <f>IFERROR(F50/'Data Sheet'!F8,0)</f>
        <v>0</v>
      </c>
      <c r="G52" s="73">
        <f>IFERROR(G50/'Data Sheet'!G8,0)</f>
        <v>0</v>
      </c>
      <c r="H52" s="73">
        <f>IFERROR(H50/'Data Sheet'!H8,0)</f>
        <v>0</v>
      </c>
      <c r="I52" s="73">
        <f>IFERROR(I50/'Data Sheet'!I8,0)</f>
        <v>0</v>
      </c>
      <c r="J52" s="73">
        <f>IFERROR(J50/'Data Sheet'!J8,0)</f>
        <v>0</v>
      </c>
      <c r="K52" s="73">
        <f>IFERROR(K50/'Data Sheet'!K8,0)</f>
        <v>0</v>
      </c>
      <c r="L52" s="83"/>
      <c r="M52" s="67"/>
      <c r="N52" s="67"/>
      <c r="O52" s="67"/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8186BB47-11AA-4E09-8640-CA8473FF926A}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ANALYSIS'!B10:K10</xm:f>
              <xm:sqref>L10</xm:sqref>
            </x14:sparkline>
            <x14:sparkline>
              <xm:f>'RATIO ANALYSIS'!B11:K11</xm:f>
              <xm:sqref>L11</xm:sqref>
            </x14:sparkline>
            <x14:sparkline>
              <xm:f>'RATIO ANALYSIS'!B12:K12</xm:f>
              <xm:sqref>L12</xm:sqref>
            </x14:sparkline>
            <x14:sparkline>
              <xm:f>'RATIO ANALYSIS'!B13:K13</xm:f>
              <xm:sqref>L13</xm:sqref>
            </x14:sparkline>
            <x14:sparkline>
              <xm:f>'RATIO ANALYSIS'!B14:K14</xm:f>
              <xm:sqref>L14</xm:sqref>
            </x14:sparkline>
            <x14:sparkline>
              <xm:f>'RATIO ANALYSIS'!B15:K15</xm:f>
              <xm:sqref>L15</xm:sqref>
            </x14:sparkline>
            <x14:sparkline>
              <xm:f>'RATIO ANALYSIS'!B16:K16</xm:f>
              <xm:sqref>L16</xm:sqref>
            </x14:sparkline>
            <x14:sparkline>
              <xm:f>'RATIO ANALYSIS'!B17:K17</xm:f>
              <xm:sqref>L17</xm:sqref>
            </x14:sparkline>
            <x14:sparkline>
              <xm:f>'RATIO ANALYSIS'!B18:K18</xm:f>
              <xm:sqref>L18</xm:sqref>
            </x14:sparkline>
            <x14:sparkline>
              <xm:f>'RATIO ANALYSIS'!B19:K19</xm:f>
              <xm:sqref>L19</xm:sqref>
            </x14:sparkline>
            <x14:sparkline>
              <xm:f>'RATIO ANALYSIS'!B20:K20</xm:f>
              <xm:sqref>L20</xm:sqref>
            </x14:sparkline>
            <x14:sparkline>
              <xm:f>'RATIO ANALYSIS'!B21:K21</xm:f>
              <xm:sqref>L21</xm:sqref>
            </x14:sparkline>
            <x14:sparkline>
              <xm:f>'RATIO ANALYSIS'!B22:K22</xm:f>
              <xm:sqref>L22</xm:sqref>
            </x14:sparkline>
            <x14:sparkline>
              <xm:f>'RATIO ANALYSIS'!B23:K23</xm:f>
              <xm:sqref>L23</xm:sqref>
            </x14:sparkline>
            <x14:sparkline>
              <xm:f>'RATIO ANALYSIS'!B24:K24</xm:f>
              <xm:sqref>L24</xm:sqref>
            </x14:sparkline>
            <x14:sparkline>
              <xm:f>'RATIO ANALYSIS'!B25:K25</xm:f>
              <xm:sqref>L25</xm:sqref>
            </x14:sparkline>
            <x14:sparkline>
              <xm:f>'RATIO ANALYSIS'!B26:K26</xm:f>
              <xm:sqref>L26</xm:sqref>
            </x14:sparkline>
            <x14:sparkline>
              <xm:f>'RATIO ANALYSIS'!B27:K27</xm:f>
              <xm:sqref>L27</xm:sqref>
            </x14:sparkline>
            <x14:sparkline>
              <xm:f>'RATIO ANALYSIS'!B28:K28</xm:f>
              <xm:sqref>L28</xm:sqref>
            </x14:sparkline>
            <x14:sparkline>
              <xm:f>'RATIO ANALYSIS'!B29:K29</xm:f>
              <xm:sqref>L29</xm:sqref>
            </x14:sparkline>
            <x14:sparkline>
              <xm:f>'RATIO ANALYSIS'!B30:K30</xm:f>
              <xm:sqref>L30</xm:sqref>
            </x14:sparkline>
            <x14:sparkline>
              <xm:f>'RATIO ANALYSIS'!B31:K31</xm:f>
              <xm:sqref>L31</xm:sqref>
            </x14:sparkline>
            <x14:sparkline>
              <xm:f>'RATIO ANALYSIS'!B32:K32</xm:f>
              <xm:sqref>L32</xm:sqref>
            </x14:sparkline>
            <x14:sparkline>
              <xm:f>'RATIO ANALYSIS'!B33:K33</xm:f>
              <xm:sqref>L33</xm:sqref>
            </x14:sparkline>
            <x14:sparkline>
              <xm:f>'RATIO ANALYSIS'!B34:K34</xm:f>
              <xm:sqref>L34</xm:sqref>
            </x14:sparkline>
            <x14:sparkline>
              <xm:f>'RATIO ANALYSIS'!B35:K35</xm:f>
              <xm:sqref>L35</xm:sqref>
            </x14:sparkline>
            <x14:sparkline>
              <xm:f>'RATIO ANALYSIS'!B36:K36</xm:f>
              <xm:sqref>L36</xm:sqref>
            </x14:sparkline>
            <x14:sparkline>
              <xm:f>'RATIO ANALYSIS'!B37:K37</xm:f>
              <xm:sqref>L37</xm:sqref>
            </x14:sparkline>
            <x14:sparkline>
              <xm:f>'RATIO ANALYSIS'!B38:K38</xm:f>
              <xm:sqref>L38</xm:sqref>
            </x14:sparkline>
            <x14:sparkline>
              <xm:f>'RATIO ANALYSIS'!B39:K39</xm:f>
              <xm:sqref>L39</xm:sqref>
            </x14:sparkline>
            <x14:sparkline>
              <xm:f>'RATIO ANALYSIS'!B40:K40</xm:f>
              <xm:sqref>L40</xm:sqref>
            </x14:sparkline>
            <x14:sparkline>
              <xm:f>'RATIO ANALYSIS'!B41:K41</xm:f>
              <xm:sqref>L41</xm:sqref>
            </x14:sparkline>
            <x14:sparkline>
              <xm:f>'RATIO ANALYSIS'!B42:K42</xm:f>
              <xm:sqref>L42</xm:sqref>
            </x14:sparkline>
            <x14:sparkline>
              <xm:f>'RATIO ANALYSIS'!B43:K43</xm:f>
              <xm:sqref>L43</xm:sqref>
            </x14:sparkline>
            <x14:sparkline>
              <xm:f>'RATIO ANALYSIS'!B44:K44</xm:f>
              <xm:sqref>L44</xm:sqref>
            </x14:sparkline>
            <x14:sparkline>
              <xm:f>'RATIO ANALYSIS'!B45:K45</xm:f>
              <xm:sqref>L45</xm:sqref>
            </x14:sparkline>
            <x14:sparkline>
              <xm:f>'RATIO ANALYSIS'!B46:K46</xm:f>
              <xm:sqref>L46</xm:sqref>
            </x14:sparkline>
            <x14:sparkline>
              <xm:f>'RATIO ANALYSIS'!B47:K47</xm:f>
              <xm:sqref>L47</xm:sqref>
            </x14:sparkline>
            <x14:sparkline>
              <xm:f>'RATIO ANALYSIS'!B48:K48</xm:f>
              <xm:sqref>L48</xm:sqref>
            </x14:sparkline>
            <x14:sparkline>
              <xm:f>'RATIO ANALYSIS'!B49:K49</xm:f>
              <xm:sqref>L49</xm:sqref>
            </x14:sparkline>
            <x14:sparkline>
              <xm:f>'RATIO ANALYSIS'!B50:K50</xm:f>
              <xm:sqref>L50</xm:sqref>
            </x14:sparkline>
            <x14:sparkline>
              <xm:f>'RATIO ANALYSIS'!B51:K51</xm:f>
              <xm:sqref>L51</xm:sqref>
            </x14:sparkline>
            <x14:sparkline>
              <xm:f>'RATIO ANALYSIS'!B52:K52</xm:f>
              <xm:sqref>L52</xm:sqref>
            </x14:sparkline>
          </x14:sparklines>
        </x14:sparklineGroup>
        <x14:sparklineGroup displayEmptyCellsAs="gap" markers="1" xr2:uid="{8EFEE5B8-EA3B-4497-BD6E-9DB736B179D6}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'RATIO ANALYSIS'!C4:K4</xm:f>
              <xm:sqref>L4</xm:sqref>
            </x14:sparkline>
            <x14:sparkline>
              <xm:f>'RATIO ANALYSIS'!C5:K5</xm:f>
              <xm:sqref>L5</xm:sqref>
            </x14:sparkline>
            <x14:sparkline>
              <xm:f>'RATIO ANALYSIS'!C6:K6</xm:f>
              <xm:sqref>L6</xm:sqref>
            </x14:sparkline>
            <x14:sparkline>
              <xm:f>'RATIO ANALYSIS'!C7:K7</xm:f>
              <xm:sqref>L7</xm:sqref>
            </x14:sparkline>
            <x14:sparkline>
              <xm:f>'RATIO ANALYSIS'!C8:K8</xm:f>
              <xm:sqref>L8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1DA2-8F51-4360-BAE2-B0A5DD9B950E}">
  <sheetPr>
    <tabColor rgb="FF92D050"/>
  </sheetPr>
  <dimension ref="A1:AC28"/>
  <sheetViews>
    <sheetView workbookViewId="0">
      <selection activeCell="A18" sqref="A18"/>
    </sheetView>
  </sheetViews>
  <sheetFormatPr defaultRowHeight="14.4" x14ac:dyDescent="0.3"/>
  <cols>
    <col min="1" max="1" width="25.77734375" bestFit="1" customWidth="1"/>
  </cols>
  <sheetData>
    <row r="1" spans="1:29" x14ac:dyDescent="0.3">
      <c r="A1" s="49"/>
      <c r="B1" s="49">
        <v>41699</v>
      </c>
      <c r="C1" s="49">
        <v>42064</v>
      </c>
      <c r="D1" s="49">
        <v>42430</v>
      </c>
      <c r="E1" s="49">
        <v>42795</v>
      </c>
      <c r="F1" s="49">
        <v>43160</v>
      </c>
      <c r="G1" s="49">
        <v>43525</v>
      </c>
      <c r="H1" s="49">
        <v>43891</v>
      </c>
      <c r="I1" s="49">
        <v>44256</v>
      </c>
      <c r="J1" s="49">
        <v>44621</v>
      </c>
      <c r="K1" s="49">
        <v>44986</v>
      </c>
      <c r="L1" s="49">
        <v>45352</v>
      </c>
      <c r="M1" s="49">
        <v>45717</v>
      </c>
    </row>
    <row r="2" spans="1:29" x14ac:dyDescent="0.3">
      <c r="A2" t="s">
        <v>139</v>
      </c>
      <c r="B2">
        <v>347</v>
      </c>
      <c r="C2">
        <v>2</v>
      </c>
      <c r="D2">
        <v>222</v>
      </c>
      <c r="E2">
        <v>301</v>
      </c>
      <c r="F2">
        <v>472</v>
      </c>
      <c r="G2">
        <v>-241</v>
      </c>
      <c r="H2">
        <v>817</v>
      </c>
      <c r="I2" s="50">
        <v>1119</v>
      </c>
      <c r="J2">
        <v>41</v>
      </c>
      <c r="K2">
        <v>236</v>
      </c>
      <c r="L2">
        <v>795</v>
      </c>
      <c r="M2" s="50">
        <v>1207</v>
      </c>
    </row>
    <row r="3" spans="1:29" x14ac:dyDescent="0.3">
      <c r="A3" t="s">
        <v>140</v>
      </c>
      <c r="B3">
        <v>379</v>
      </c>
      <c r="C3">
        <v>137</v>
      </c>
      <c r="D3">
        <v>178</v>
      </c>
      <c r="E3">
        <v>305</v>
      </c>
      <c r="F3">
        <v>578</v>
      </c>
      <c r="G3">
        <v>727</v>
      </c>
      <c r="H3">
        <v>647</v>
      </c>
      <c r="I3" s="50">
        <v>1111</v>
      </c>
      <c r="J3">
        <v>936</v>
      </c>
      <c r="K3">
        <v>815</v>
      </c>
      <c r="L3" s="50">
        <v>1375</v>
      </c>
      <c r="M3" s="50">
        <v>1416</v>
      </c>
    </row>
    <row r="4" spans="1:29" x14ac:dyDescent="0.3">
      <c r="A4" t="s">
        <v>78</v>
      </c>
      <c r="B4">
        <v>112</v>
      </c>
      <c r="C4">
        <v>-69</v>
      </c>
      <c r="D4">
        <v>-15</v>
      </c>
      <c r="E4">
        <v>-79</v>
      </c>
      <c r="F4">
        <v>-143</v>
      </c>
      <c r="G4">
        <v>-324</v>
      </c>
      <c r="H4">
        <v>170</v>
      </c>
      <c r="I4">
        <v>47</v>
      </c>
      <c r="J4">
        <v>-142</v>
      </c>
      <c r="K4">
        <v>-384</v>
      </c>
      <c r="L4">
        <v>-51</v>
      </c>
      <c r="M4">
        <v>-179</v>
      </c>
    </row>
    <row r="5" spans="1:29" x14ac:dyDescent="0.3">
      <c r="A5" t="s">
        <v>45</v>
      </c>
      <c r="B5">
        <v>-59</v>
      </c>
      <c r="C5">
        <v>81</v>
      </c>
      <c r="D5">
        <v>22</v>
      </c>
      <c r="E5">
        <v>-57</v>
      </c>
      <c r="F5">
        <v>-123</v>
      </c>
      <c r="G5">
        <v>-275</v>
      </c>
      <c r="H5">
        <v>0</v>
      </c>
      <c r="I5">
        <v>148</v>
      </c>
      <c r="J5">
        <v>-129</v>
      </c>
      <c r="K5">
        <v>-355</v>
      </c>
      <c r="L5">
        <v>-123</v>
      </c>
      <c r="M5">
        <v>163</v>
      </c>
    </row>
    <row r="6" spans="1:29" x14ac:dyDescent="0.3">
      <c r="A6" t="s">
        <v>141</v>
      </c>
      <c r="B6">
        <v>-30</v>
      </c>
      <c r="C6">
        <v>-128</v>
      </c>
      <c r="D6">
        <v>42</v>
      </c>
      <c r="E6">
        <v>155</v>
      </c>
      <c r="F6">
        <v>347</v>
      </c>
      <c r="G6">
        <v>-1</v>
      </c>
      <c r="H6">
        <v>87</v>
      </c>
      <c r="I6">
        <v>-20</v>
      </c>
      <c r="J6">
        <v>-255</v>
      </c>
      <c r="K6">
        <v>357</v>
      </c>
      <c r="L6">
        <v>-98</v>
      </c>
      <c r="M6">
        <v>81</v>
      </c>
    </row>
    <row r="7" spans="1:29" x14ac:dyDescent="0.3">
      <c r="A7" t="s">
        <v>142</v>
      </c>
      <c r="B7">
        <v>0</v>
      </c>
      <c r="C7">
        <v>0</v>
      </c>
      <c r="D7">
        <v>-13</v>
      </c>
      <c r="E7">
        <v>21</v>
      </c>
      <c r="F7">
        <v>-85</v>
      </c>
      <c r="G7">
        <v>-152</v>
      </c>
      <c r="H7">
        <v>86</v>
      </c>
      <c r="I7">
        <v>86</v>
      </c>
      <c r="J7">
        <v>-116</v>
      </c>
      <c r="K7">
        <v>-10</v>
      </c>
      <c r="L7">
        <v>-65</v>
      </c>
      <c r="M7">
        <v>85</v>
      </c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</row>
    <row r="8" spans="1:29" x14ac:dyDescent="0.3">
      <c r="A8" t="s">
        <v>143</v>
      </c>
      <c r="B8">
        <v>24</v>
      </c>
      <c r="C8">
        <v>-116</v>
      </c>
      <c r="D8">
        <v>36</v>
      </c>
      <c r="E8">
        <v>40</v>
      </c>
      <c r="F8">
        <v>-4</v>
      </c>
      <c r="G8">
        <v>-751</v>
      </c>
      <c r="H8">
        <v>344</v>
      </c>
      <c r="I8">
        <v>261</v>
      </c>
      <c r="J8">
        <v>-641</v>
      </c>
      <c r="K8">
        <v>-392</v>
      </c>
      <c r="L8">
        <v>-338</v>
      </c>
      <c r="M8">
        <v>150</v>
      </c>
    </row>
    <row r="9" spans="1:29" x14ac:dyDescent="0.3">
      <c r="A9" t="s">
        <v>144</v>
      </c>
      <c r="B9">
        <v>-56</v>
      </c>
      <c r="C9">
        <v>-19</v>
      </c>
      <c r="D9">
        <v>8</v>
      </c>
      <c r="E9">
        <v>-44</v>
      </c>
      <c r="F9">
        <v>-102</v>
      </c>
      <c r="G9">
        <v>-217</v>
      </c>
      <c r="H9">
        <v>-174</v>
      </c>
      <c r="I9">
        <v>-253</v>
      </c>
      <c r="J9">
        <v>-254</v>
      </c>
      <c r="K9">
        <v>-186</v>
      </c>
      <c r="L9">
        <v>-241</v>
      </c>
      <c r="M9">
        <v>-358</v>
      </c>
    </row>
    <row r="10" spans="1:29" x14ac:dyDescent="0.3">
      <c r="A10" t="s">
        <v>145</v>
      </c>
      <c r="B10">
        <v>-62</v>
      </c>
      <c r="C10">
        <v>19</v>
      </c>
      <c r="D10">
        <v>-25</v>
      </c>
      <c r="E10">
        <v>-140</v>
      </c>
      <c r="F10">
        <v>-378</v>
      </c>
      <c r="G10">
        <v>-14</v>
      </c>
      <c r="H10">
        <v>-429</v>
      </c>
      <c r="I10" s="50">
        <v>-2197</v>
      </c>
      <c r="J10" s="50">
        <v>-1871</v>
      </c>
      <c r="K10">
        <v>-68</v>
      </c>
      <c r="L10">
        <v>-765</v>
      </c>
      <c r="M10">
        <v>-403</v>
      </c>
    </row>
    <row r="11" spans="1:29" x14ac:dyDescent="0.3">
      <c r="A11" t="s">
        <v>146</v>
      </c>
      <c r="B11">
        <v>-118</v>
      </c>
      <c r="C11">
        <v>-52</v>
      </c>
      <c r="D11">
        <v>-54</v>
      </c>
      <c r="E11">
        <v>-78</v>
      </c>
      <c r="F11">
        <v>-115</v>
      </c>
      <c r="G11">
        <v>-150</v>
      </c>
      <c r="H11">
        <v>-195</v>
      </c>
      <c r="I11">
        <v>-123</v>
      </c>
      <c r="J11">
        <v>-186</v>
      </c>
      <c r="K11">
        <v>-219</v>
      </c>
      <c r="L11">
        <v>-283</v>
      </c>
      <c r="M11">
        <v>-247</v>
      </c>
    </row>
    <row r="12" spans="1:29" x14ac:dyDescent="0.3">
      <c r="A12" t="s">
        <v>147</v>
      </c>
      <c r="B12">
        <v>0</v>
      </c>
      <c r="C12">
        <v>0</v>
      </c>
      <c r="D12">
        <v>2</v>
      </c>
      <c r="E12">
        <v>13</v>
      </c>
      <c r="F12">
        <v>14</v>
      </c>
      <c r="G12">
        <v>11</v>
      </c>
      <c r="H12">
        <v>5</v>
      </c>
      <c r="I12">
        <v>9</v>
      </c>
      <c r="J12">
        <v>32</v>
      </c>
      <c r="K12">
        <v>5</v>
      </c>
      <c r="L12">
        <v>15</v>
      </c>
      <c r="M12">
        <v>9</v>
      </c>
    </row>
    <row r="13" spans="1:29" x14ac:dyDescent="0.3">
      <c r="A13" t="s">
        <v>148</v>
      </c>
      <c r="B13">
        <v>0</v>
      </c>
      <c r="C13">
        <v>-2</v>
      </c>
      <c r="D13">
        <v>0</v>
      </c>
      <c r="E13">
        <v>-160</v>
      </c>
      <c r="F13">
        <v>-298</v>
      </c>
      <c r="G13">
        <v>0</v>
      </c>
      <c r="H13">
        <v>-211</v>
      </c>
      <c r="I13">
        <v>-978</v>
      </c>
      <c r="J13" s="50">
        <v>-2851</v>
      </c>
      <c r="K13">
        <v>-423</v>
      </c>
      <c r="L13">
        <v>-130</v>
      </c>
      <c r="M13">
        <v>-227</v>
      </c>
    </row>
    <row r="14" spans="1:29" x14ac:dyDescent="0.3">
      <c r="A14" t="s">
        <v>149</v>
      </c>
      <c r="B14">
        <v>5</v>
      </c>
      <c r="C14">
        <v>0</v>
      </c>
      <c r="D14">
        <v>0</v>
      </c>
      <c r="E14">
        <v>0</v>
      </c>
      <c r="F14">
        <v>3</v>
      </c>
      <c r="G14">
        <v>178</v>
      </c>
      <c r="H14">
        <v>0</v>
      </c>
      <c r="I14">
        <v>0</v>
      </c>
      <c r="J14">
        <v>31</v>
      </c>
      <c r="K14">
        <v>667</v>
      </c>
      <c r="L14">
        <v>21</v>
      </c>
      <c r="M14">
        <v>25</v>
      </c>
    </row>
    <row r="15" spans="1:29" x14ac:dyDescent="0.3">
      <c r="A15" t="s">
        <v>150</v>
      </c>
      <c r="B15">
        <v>72</v>
      </c>
      <c r="C15">
        <v>40</v>
      </c>
      <c r="D15">
        <v>30</v>
      </c>
      <c r="E15">
        <v>29</v>
      </c>
      <c r="F15">
        <v>25</v>
      </c>
      <c r="G15">
        <v>35</v>
      </c>
      <c r="H15">
        <v>43</v>
      </c>
      <c r="I15">
        <v>45</v>
      </c>
      <c r="J15">
        <v>105</v>
      </c>
      <c r="K15">
        <v>11</v>
      </c>
      <c r="L15">
        <v>21</v>
      </c>
      <c r="M15">
        <v>112</v>
      </c>
    </row>
    <row r="16" spans="1:29" x14ac:dyDescent="0.3">
      <c r="A16" t="s">
        <v>151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3">
      <c r="A17" t="s">
        <v>152</v>
      </c>
      <c r="B17">
        <v>0</v>
      </c>
      <c r="C17">
        <v>0</v>
      </c>
      <c r="D17">
        <v>0</v>
      </c>
      <c r="E17">
        <v>0</v>
      </c>
      <c r="F17">
        <v>-17</v>
      </c>
      <c r="G17">
        <v>-104</v>
      </c>
      <c r="H17">
        <v>-63</v>
      </c>
      <c r="I17">
        <v>-120</v>
      </c>
      <c r="J17">
        <v>-19</v>
      </c>
      <c r="K17">
        <v>0</v>
      </c>
      <c r="L17">
        <v>-20</v>
      </c>
      <c r="M17">
        <v>-40</v>
      </c>
    </row>
    <row r="18" spans="1:13" x14ac:dyDescent="0.3">
      <c r="A18" t="s">
        <v>153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3">
      <c r="A19" t="s">
        <v>154</v>
      </c>
      <c r="B19">
        <v>-21</v>
      </c>
      <c r="C19">
        <v>32</v>
      </c>
      <c r="D19">
        <v>-4</v>
      </c>
      <c r="E19">
        <v>56</v>
      </c>
      <c r="F19">
        <v>10</v>
      </c>
      <c r="G19">
        <v>17</v>
      </c>
      <c r="H19">
        <v>-9</v>
      </c>
      <c r="I19" s="50">
        <v>-1031</v>
      </c>
      <c r="J19" s="50">
        <v>1017</v>
      </c>
      <c r="K19">
        <v>-110</v>
      </c>
      <c r="L19">
        <v>-390</v>
      </c>
      <c r="M19">
        <v>-36</v>
      </c>
    </row>
    <row r="20" spans="1:13" x14ac:dyDescent="0.3">
      <c r="A20" t="s">
        <v>155</v>
      </c>
      <c r="B20">
        <v>-236</v>
      </c>
      <c r="C20">
        <v>-11</v>
      </c>
      <c r="D20">
        <v>-195</v>
      </c>
      <c r="E20">
        <v>-138</v>
      </c>
      <c r="F20">
        <v>0</v>
      </c>
      <c r="G20">
        <v>192</v>
      </c>
      <c r="H20">
        <v>-308</v>
      </c>
      <c r="I20" s="50">
        <v>1014</v>
      </c>
      <c r="J20" s="50">
        <v>1813</v>
      </c>
      <c r="K20">
        <v>-70</v>
      </c>
      <c r="L20">
        <v>21</v>
      </c>
      <c r="M20">
        <v>-700</v>
      </c>
    </row>
    <row r="21" spans="1:13" x14ac:dyDescent="0.3">
      <c r="A21" t="s">
        <v>156</v>
      </c>
      <c r="B21">
        <v>0</v>
      </c>
      <c r="C21">
        <v>0</v>
      </c>
      <c r="D21">
        <v>1</v>
      </c>
      <c r="E21">
        <v>1</v>
      </c>
      <c r="F21">
        <v>0</v>
      </c>
      <c r="G21">
        <v>0</v>
      </c>
      <c r="H21">
        <v>0</v>
      </c>
      <c r="I21" s="50">
        <v>1058</v>
      </c>
      <c r="J21" s="50">
        <v>1902</v>
      </c>
      <c r="K21">
        <v>21</v>
      </c>
      <c r="L21">
        <v>13</v>
      </c>
      <c r="M21">
        <v>25</v>
      </c>
    </row>
    <row r="22" spans="1:13" x14ac:dyDescent="0.3">
      <c r="A22" t="s">
        <v>157</v>
      </c>
      <c r="B22">
        <v>0</v>
      </c>
      <c r="C22">
        <v>96</v>
      </c>
      <c r="D22">
        <v>35</v>
      </c>
      <c r="E22">
        <v>17</v>
      </c>
      <c r="F22">
        <v>0</v>
      </c>
      <c r="G22">
        <v>269</v>
      </c>
      <c r="H22">
        <v>0</v>
      </c>
      <c r="I22">
        <v>0</v>
      </c>
      <c r="J22">
        <v>0</v>
      </c>
      <c r="K22">
        <v>0</v>
      </c>
      <c r="L22">
        <v>145</v>
      </c>
      <c r="M22">
        <v>0</v>
      </c>
    </row>
    <row r="23" spans="1:13" x14ac:dyDescent="0.3">
      <c r="A23" t="s">
        <v>158</v>
      </c>
      <c r="B23">
        <v>-117</v>
      </c>
      <c r="C23">
        <v>-52</v>
      </c>
      <c r="D23">
        <v>-173</v>
      </c>
      <c r="E23">
        <v>-115</v>
      </c>
      <c r="F23">
        <v>-213</v>
      </c>
      <c r="G23">
        <v>-42</v>
      </c>
      <c r="H23">
        <v>-270</v>
      </c>
      <c r="I23">
        <v>-6</v>
      </c>
      <c r="J23">
        <v>0</v>
      </c>
      <c r="K23">
        <v>0</v>
      </c>
      <c r="L23">
        <v>0</v>
      </c>
      <c r="M23">
        <v>-363</v>
      </c>
    </row>
    <row r="24" spans="1:13" x14ac:dyDescent="0.3">
      <c r="A24" t="s">
        <v>159</v>
      </c>
      <c r="B24">
        <v>-93</v>
      </c>
      <c r="C24">
        <v>-49</v>
      </c>
      <c r="D24">
        <v>-45</v>
      </c>
      <c r="E24">
        <v>-28</v>
      </c>
      <c r="F24">
        <v>-21</v>
      </c>
      <c r="G24">
        <v>-13</v>
      </c>
      <c r="H24">
        <v>-9</v>
      </c>
      <c r="I24">
        <v>-8</v>
      </c>
      <c r="J24">
        <v>-10</v>
      </c>
      <c r="K24">
        <v>-8</v>
      </c>
      <c r="L24">
        <v>-36</v>
      </c>
      <c r="M24">
        <v>-26</v>
      </c>
    </row>
    <row r="25" spans="1:13" x14ac:dyDescent="0.3">
      <c r="A25" t="s">
        <v>160</v>
      </c>
      <c r="B25">
        <v>-25</v>
      </c>
      <c r="C25">
        <v>-6</v>
      </c>
      <c r="D25">
        <v>-13</v>
      </c>
      <c r="E25">
        <v>-13</v>
      </c>
      <c r="F25">
        <v>-16</v>
      </c>
      <c r="G25">
        <v>-22</v>
      </c>
      <c r="H25">
        <v>-26</v>
      </c>
      <c r="I25">
        <v>-25</v>
      </c>
      <c r="J25">
        <v>-74</v>
      </c>
      <c r="K25">
        <v>-76</v>
      </c>
      <c r="L25">
        <v>-76</v>
      </c>
      <c r="M25">
        <v>-305</v>
      </c>
    </row>
    <row r="26" spans="1:13" x14ac:dyDescent="0.3">
      <c r="A26" t="s">
        <v>161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-3</v>
      </c>
      <c r="I26">
        <v>-5</v>
      </c>
      <c r="J26">
        <v>-6</v>
      </c>
      <c r="K26">
        <v>-7</v>
      </c>
      <c r="L26">
        <v>-26</v>
      </c>
      <c r="M26">
        <v>-30</v>
      </c>
    </row>
    <row r="27" spans="1:13" x14ac:dyDescent="0.3">
      <c r="A27" t="s">
        <v>162</v>
      </c>
      <c r="B27">
        <v>0</v>
      </c>
      <c r="C27">
        <v>0</v>
      </c>
      <c r="D27">
        <v>0</v>
      </c>
      <c r="E27">
        <v>0</v>
      </c>
      <c r="F27">
        <v>250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3" x14ac:dyDescent="0.3">
      <c r="A28" t="s">
        <v>35</v>
      </c>
      <c r="B28">
        <v>49</v>
      </c>
      <c r="C28">
        <v>10</v>
      </c>
      <c r="D28">
        <v>1</v>
      </c>
      <c r="E28">
        <v>23</v>
      </c>
      <c r="F28">
        <v>94</v>
      </c>
      <c r="G28">
        <v>-63</v>
      </c>
      <c r="H28">
        <v>79</v>
      </c>
      <c r="I28">
        <v>-64</v>
      </c>
      <c r="J28">
        <v>-18</v>
      </c>
      <c r="K28">
        <v>99</v>
      </c>
      <c r="L28">
        <v>52</v>
      </c>
      <c r="M28">
        <v>104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zoomScale="97" zoomScaleNormal="97" zoomScaleSheetLayoutView="100" zoomScalePageLayoutView="120" workbookViewId="0">
      <pane xSplit="1" ySplit="4" topLeftCell="B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customWidth="1"/>
    <col min="2" max="6" width="13.44140625" customWidth="1"/>
    <col min="7" max="7" width="14.77734375" bestFit="1" customWidth="1"/>
    <col min="8" max="11" width="13.44140625" customWidth="1"/>
    <col min="12" max="12" width="13.33203125" customWidth="1"/>
    <col min="13" max="14" width="12.109375" customWidth="1"/>
  </cols>
  <sheetData>
    <row r="1" spans="1:14" s="2" customFormat="1" x14ac:dyDescent="0.3">
      <c r="A1" s="2" t="str">
        <f>'Data Sheet'!B1</f>
        <v>ESCORTS KUBOTA LTD</v>
      </c>
      <c r="H1" t="str">
        <f>UPDATE</f>
        <v/>
      </c>
      <c r="J1" s="3"/>
      <c r="K1" s="3"/>
      <c r="M1" s="2" t="s">
        <v>1</v>
      </c>
    </row>
    <row r="3" spans="1:14" s="2" customFormat="1" x14ac:dyDescent="0.3">
      <c r="A3" s="11" t="s">
        <v>2</v>
      </c>
      <c r="B3" s="12">
        <f>'Data Sheet'!B16</f>
        <v>42460</v>
      </c>
      <c r="C3" s="12">
        <f>'Data Sheet'!C16</f>
        <v>42825</v>
      </c>
      <c r="D3" s="12">
        <f>'Data Sheet'!D16</f>
        <v>43190</v>
      </c>
      <c r="E3" s="12">
        <f>'Data Sheet'!E16</f>
        <v>43555</v>
      </c>
      <c r="F3" s="12">
        <f>'Data Sheet'!F16</f>
        <v>43921</v>
      </c>
      <c r="G3" s="12">
        <f>'Data Sheet'!G16</f>
        <v>44286</v>
      </c>
      <c r="H3" s="12">
        <f>'Data Sheet'!H16</f>
        <v>44651</v>
      </c>
      <c r="I3" s="12">
        <f>'Data Sheet'!I16</f>
        <v>45016</v>
      </c>
      <c r="J3" s="12">
        <f>'Data Sheet'!J16</f>
        <v>45382</v>
      </c>
      <c r="K3" s="12">
        <f>'Data Sheet'!K16</f>
        <v>45747</v>
      </c>
      <c r="L3" s="13" t="s">
        <v>3</v>
      </c>
      <c r="M3" s="13" t="s">
        <v>4</v>
      </c>
      <c r="N3" s="13" t="s">
        <v>5</v>
      </c>
    </row>
    <row r="4" spans="1:14" s="2" customFormat="1" x14ac:dyDescent="0.3">
      <c r="A4" s="2" t="s">
        <v>6</v>
      </c>
      <c r="B4" s="1">
        <f>'Data Sheet'!B17</f>
        <v>3431.99</v>
      </c>
      <c r="C4" s="1">
        <f>'Data Sheet'!C17</f>
        <v>4145.33</v>
      </c>
      <c r="D4" s="1">
        <f>'Data Sheet'!D17</f>
        <v>5059.34</v>
      </c>
      <c r="E4" s="1">
        <f>'Data Sheet'!E17</f>
        <v>6262.02</v>
      </c>
      <c r="F4" s="1">
        <f>'Data Sheet'!F17</f>
        <v>5810.09</v>
      </c>
      <c r="G4" s="1">
        <f>'Data Sheet'!G17</f>
        <v>7014.42</v>
      </c>
      <c r="H4" s="1">
        <f>'Data Sheet'!H17</f>
        <v>7282.65</v>
      </c>
      <c r="I4" s="1">
        <f>'Data Sheet'!I17</f>
        <v>8428.69</v>
      </c>
      <c r="J4" s="1">
        <f>'Data Sheet'!J17</f>
        <v>9803.59</v>
      </c>
      <c r="K4" s="1">
        <f>'Data Sheet'!K17</f>
        <v>10243.879999999999</v>
      </c>
      <c r="L4" s="1">
        <f>SUM(Quarters!H4:K4)</f>
        <v>10488.54</v>
      </c>
      <c r="M4" s="1">
        <f>$K4+M23*K4</f>
        <v>11477.734212226605</v>
      </c>
      <c r="N4" s="1">
        <f>$K4+N23*L4</f>
        <v>10714.931857187008</v>
      </c>
    </row>
    <row r="5" spans="1:14" x14ac:dyDescent="0.3">
      <c r="A5" t="s">
        <v>7</v>
      </c>
      <c r="B5" s="6">
        <f>SUM('Data Sheet'!B18,'Data Sheet'!B20:B24, -1*'Data Sheet'!B19)</f>
        <v>3271.04</v>
      </c>
      <c r="C5" s="6">
        <f>SUM('Data Sheet'!C18,'Data Sheet'!C20:C24, -1*'Data Sheet'!C19)</f>
        <v>3877.5500000000006</v>
      </c>
      <c r="D5" s="6">
        <f>SUM('Data Sheet'!D18,'Data Sheet'!D20:D24, -1*'Data Sheet'!D19)</f>
        <v>4505.99</v>
      </c>
      <c r="E5" s="6">
        <f>SUM('Data Sheet'!E18,'Data Sheet'!E20:E24, -1*'Data Sheet'!E19)</f>
        <v>5539.4500000000007</v>
      </c>
      <c r="F5" s="6">
        <f>SUM('Data Sheet'!F18,'Data Sheet'!F20:F24, -1*'Data Sheet'!F19)</f>
        <v>5148.7699999999995</v>
      </c>
      <c r="G5" s="6">
        <f>SUM('Data Sheet'!G18,'Data Sheet'!G20:G24, -1*'Data Sheet'!G19)</f>
        <v>5888.4000000000005</v>
      </c>
      <c r="H5" s="6">
        <f>SUM('Data Sheet'!H18,'Data Sheet'!H20:H24, -1*'Data Sheet'!H19)</f>
        <v>6316.59</v>
      </c>
      <c r="I5" s="6">
        <f>SUM('Data Sheet'!I18,'Data Sheet'!I20:I24, -1*'Data Sheet'!I19)</f>
        <v>7658.6500000000005</v>
      </c>
      <c r="J5" s="6">
        <f>SUM('Data Sheet'!J18,'Data Sheet'!J20:J24, -1*'Data Sheet'!J19)</f>
        <v>8673.2200000000012</v>
      </c>
      <c r="K5" s="6">
        <f>SUM('Data Sheet'!K18,'Data Sheet'!K20:K24, -1*'Data Sheet'!K19)</f>
        <v>9079.69</v>
      </c>
      <c r="L5" s="6">
        <f>SUM(Quarters!H5:K5)</f>
        <v>9271.7900000000009</v>
      </c>
      <c r="M5" s="6">
        <f t="shared" ref="M5:N5" si="0">M4-M6</f>
        <v>10146.230199015356</v>
      </c>
      <c r="N5" s="6">
        <f t="shared" si="0"/>
        <v>9561.7925234588893</v>
      </c>
    </row>
    <row r="6" spans="1:14" s="2" customFormat="1" x14ac:dyDescent="0.3">
      <c r="A6" s="2" t="s">
        <v>8</v>
      </c>
      <c r="B6" s="1">
        <f>B4-B5</f>
        <v>160.94999999999982</v>
      </c>
      <c r="C6" s="1">
        <f t="shared" ref="C6:K6" si="1">C4-C5</f>
        <v>267.77999999999929</v>
      </c>
      <c r="D6" s="1">
        <f t="shared" si="1"/>
        <v>553.35000000000036</v>
      </c>
      <c r="E6" s="1">
        <f t="shared" si="1"/>
        <v>722.56999999999971</v>
      </c>
      <c r="F6" s="1">
        <f t="shared" si="1"/>
        <v>661.32000000000062</v>
      </c>
      <c r="G6" s="1">
        <f t="shared" si="1"/>
        <v>1126.0199999999995</v>
      </c>
      <c r="H6" s="1">
        <f t="shared" si="1"/>
        <v>966.05999999999949</v>
      </c>
      <c r="I6" s="1">
        <f t="shared" si="1"/>
        <v>770.04</v>
      </c>
      <c r="J6" s="1">
        <f t="shared" si="1"/>
        <v>1130.369999999999</v>
      </c>
      <c r="K6" s="1">
        <f t="shared" si="1"/>
        <v>1164.1899999999987</v>
      </c>
      <c r="L6" s="1">
        <f>SUM(Quarters!H6:K6)</f>
        <v>1216.75</v>
      </c>
      <c r="M6" s="1">
        <f>M4*M24</f>
        <v>1331.5040132112497</v>
      </c>
      <c r="N6" s="1">
        <f>N4*N24</f>
        <v>1153.1393337281181</v>
      </c>
    </row>
    <row r="7" spans="1:14" x14ac:dyDescent="0.3">
      <c r="A7" t="s">
        <v>9</v>
      </c>
      <c r="B7" s="6">
        <f>'Data Sheet'!B25</f>
        <v>30.66</v>
      </c>
      <c r="C7" s="6">
        <f>'Data Sheet'!C25</f>
        <v>35.85</v>
      </c>
      <c r="D7" s="6">
        <f>'Data Sheet'!D25</f>
        <v>58.44</v>
      </c>
      <c r="E7" s="6">
        <f>'Data Sheet'!E25</f>
        <v>99.19</v>
      </c>
      <c r="F7" s="6">
        <f>'Data Sheet'!F25</f>
        <v>88.38</v>
      </c>
      <c r="G7" s="6">
        <f>'Data Sheet'!G25</f>
        <v>160.38</v>
      </c>
      <c r="H7" s="6">
        <f>'Data Sheet'!H25</f>
        <v>173.8</v>
      </c>
      <c r="I7" s="6">
        <f>'Data Sheet'!I25</f>
        <v>227.88</v>
      </c>
      <c r="J7" s="6">
        <f>'Data Sheet'!J25</f>
        <v>525.37</v>
      </c>
      <c r="K7" s="6">
        <f>'Data Sheet'!K25</f>
        <v>600.53</v>
      </c>
      <c r="L7" s="6">
        <f>SUM(Quarters!H7:K7)</f>
        <v>563.29000000000008</v>
      </c>
      <c r="M7" s="6">
        <v>0</v>
      </c>
      <c r="N7" s="6">
        <v>0</v>
      </c>
    </row>
    <row r="8" spans="1:14" x14ac:dyDescent="0.3">
      <c r="A8" t="s">
        <v>10</v>
      </c>
      <c r="B8" s="6">
        <f>'Data Sheet'!B26</f>
        <v>58.13</v>
      </c>
      <c r="C8" s="6">
        <f>'Data Sheet'!C26</f>
        <v>63.42</v>
      </c>
      <c r="D8" s="6">
        <f>'Data Sheet'!D26</f>
        <v>73.22</v>
      </c>
      <c r="E8" s="6">
        <f>'Data Sheet'!E26</f>
        <v>87.21</v>
      </c>
      <c r="F8" s="6">
        <f>'Data Sheet'!F26</f>
        <v>107.22</v>
      </c>
      <c r="G8" s="6">
        <f>'Data Sheet'!G26</f>
        <v>118.28</v>
      </c>
      <c r="H8" s="6">
        <f>'Data Sheet'!H26</f>
        <v>132.06</v>
      </c>
      <c r="I8" s="6">
        <f>'Data Sheet'!I26</f>
        <v>150.06</v>
      </c>
      <c r="J8" s="6">
        <f>'Data Sheet'!J26</f>
        <v>224.06</v>
      </c>
      <c r="K8" s="6">
        <f>'Data Sheet'!K26</f>
        <v>243.65</v>
      </c>
      <c r="L8" s="6">
        <f>SUM(Quarters!H8:K8)</f>
        <v>246.20000000000002</v>
      </c>
      <c r="M8" s="6">
        <f>+$L8</f>
        <v>246.20000000000002</v>
      </c>
      <c r="N8" s="6">
        <f>+$L8</f>
        <v>246.20000000000002</v>
      </c>
    </row>
    <row r="9" spans="1:14" x14ac:dyDescent="0.3">
      <c r="A9" t="s">
        <v>11</v>
      </c>
      <c r="B9" s="6">
        <f>'Data Sheet'!B27</f>
        <v>51.06</v>
      </c>
      <c r="C9" s="6">
        <f>'Data Sheet'!C27</f>
        <v>32.21</v>
      </c>
      <c r="D9" s="6">
        <f>'Data Sheet'!D27</f>
        <v>29.49</v>
      </c>
      <c r="E9" s="6">
        <f>'Data Sheet'!E27</f>
        <v>19.54</v>
      </c>
      <c r="F9" s="6">
        <f>'Data Sheet'!F27</f>
        <v>17.23</v>
      </c>
      <c r="G9" s="6">
        <f>'Data Sheet'!G27</f>
        <v>13.34</v>
      </c>
      <c r="H9" s="6">
        <f>'Data Sheet'!H27</f>
        <v>14.97</v>
      </c>
      <c r="I9" s="6">
        <f>'Data Sheet'!I27</f>
        <v>13.27</v>
      </c>
      <c r="J9" s="6">
        <f>'Data Sheet'!J27</f>
        <v>41.66</v>
      </c>
      <c r="K9" s="6">
        <f>'Data Sheet'!K27</f>
        <v>29.17</v>
      </c>
      <c r="L9" s="6">
        <f>SUM(Quarters!H9:K9)</f>
        <v>29.2</v>
      </c>
      <c r="M9" s="6">
        <f>+$L9</f>
        <v>29.2</v>
      </c>
      <c r="N9" s="6">
        <f>+$L9</f>
        <v>29.2</v>
      </c>
    </row>
    <row r="10" spans="1:14" x14ac:dyDescent="0.3">
      <c r="A10" t="s">
        <v>12</v>
      </c>
      <c r="B10" s="6">
        <f>'Data Sheet'!B28</f>
        <v>82.42</v>
      </c>
      <c r="C10" s="6">
        <f>'Data Sheet'!C28</f>
        <v>208</v>
      </c>
      <c r="D10" s="6">
        <f>'Data Sheet'!D28</f>
        <v>509.08</v>
      </c>
      <c r="E10" s="6">
        <f>'Data Sheet'!E28</f>
        <v>715.01</v>
      </c>
      <c r="F10" s="6">
        <f>'Data Sheet'!F28</f>
        <v>625.25</v>
      </c>
      <c r="G10" s="6">
        <f>'Data Sheet'!G28</f>
        <v>1154.78</v>
      </c>
      <c r="H10" s="6">
        <f>'Data Sheet'!H28</f>
        <v>992.83</v>
      </c>
      <c r="I10" s="6">
        <f>'Data Sheet'!I28</f>
        <v>834.59</v>
      </c>
      <c r="J10" s="6">
        <f>'Data Sheet'!J28</f>
        <v>1390.02</v>
      </c>
      <c r="K10" s="6">
        <f>'Data Sheet'!K28</f>
        <v>1491.9</v>
      </c>
      <c r="L10" s="6">
        <f>SUM(Quarters!H10:K10)</f>
        <v>1504.6399999999999</v>
      </c>
      <c r="M10" s="6">
        <f>M6+M7-SUM(M8:M9)</f>
        <v>1056.1040132112496</v>
      </c>
      <c r="N10" s="6">
        <f>N6+N7-SUM(N8:N9)</f>
        <v>877.73933372811803</v>
      </c>
    </row>
    <row r="11" spans="1:14" x14ac:dyDescent="0.3">
      <c r="A11" t="s">
        <v>13</v>
      </c>
      <c r="B11" s="6">
        <f>'Data Sheet'!B29</f>
        <v>12.27</v>
      </c>
      <c r="C11" s="6">
        <f>'Data Sheet'!C29</f>
        <v>77.25</v>
      </c>
      <c r="D11" s="6">
        <f>'Data Sheet'!D29</f>
        <v>162.49</v>
      </c>
      <c r="E11" s="6">
        <f>'Data Sheet'!E29</f>
        <v>237.11</v>
      </c>
      <c r="F11" s="6">
        <f>'Data Sheet'!F29</f>
        <v>153.53</v>
      </c>
      <c r="G11" s="6">
        <f>'Data Sheet'!G29</f>
        <v>283.14999999999998</v>
      </c>
      <c r="H11" s="6">
        <f>'Data Sheet'!H29</f>
        <v>257.22000000000003</v>
      </c>
      <c r="I11" s="6">
        <f>'Data Sheet'!I29</f>
        <v>197.94</v>
      </c>
      <c r="J11" s="6">
        <f>'Data Sheet'!J29</f>
        <v>313.39999999999998</v>
      </c>
      <c r="K11" s="6">
        <f>'Data Sheet'!K29</f>
        <v>226.95</v>
      </c>
      <c r="L11" s="6">
        <f>SUM(Quarters!H11:K11)</f>
        <v>239.69</v>
      </c>
      <c r="M11" s="7">
        <f>IF($L10&gt;0,$L11/$L10,0)</f>
        <v>0.15930056358996172</v>
      </c>
      <c r="N11" s="7">
        <f>IF($L10&gt;0,$L11/$L10,0)</f>
        <v>0.15930056358996172</v>
      </c>
    </row>
    <row r="12" spans="1:14" s="2" customFormat="1" x14ac:dyDescent="0.3">
      <c r="A12" s="2" t="s">
        <v>14</v>
      </c>
      <c r="B12" s="1">
        <f>'Data Sheet'!B30</f>
        <v>70.61</v>
      </c>
      <c r="C12" s="1">
        <f>'Data Sheet'!C30</f>
        <v>131.27000000000001</v>
      </c>
      <c r="D12" s="1">
        <f>'Data Sheet'!D30</f>
        <v>347.02</v>
      </c>
      <c r="E12" s="1">
        <f>'Data Sheet'!E30</f>
        <v>478.93</v>
      </c>
      <c r="F12" s="1">
        <f>'Data Sheet'!F30</f>
        <v>472.25</v>
      </c>
      <c r="G12" s="1">
        <f>'Data Sheet'!G30</f>
        <v>871.46</v>
      </c>
      <c r="H12" s="1">
        <f>'Data Sheet'!H30</f>
        <v>736.47</v>
      </c>
      <c r="I12" s="1">
        <f>'Data Sheet'!I30</f>
        <v>636.78</v>
      </c>
      <c r="J12" s="1">
        <f>'Data Sheet'!J30</f>
        <v>1076.6500000000001</v>
      </c>
      <c r="K12" s="1">
        <f>'Data Sheet'!K30</f>
        <v>1264.94</v>
      </c>
      <c r="L12" s="1">
        <f>SUM(Quarters!H12:K12)</f>
        <v>1264.94</v>
      </c>
      <c r="M12" s="1">
        <f>M10-M11*M10</f>
        <v>887.86604869707719</v>
      </c>
      <c r="N12" s="1">
        <f>N10-N11*N10</f>
        <v>737.91496318015129</v>
      </c>
    </row>
    <row r="13" spans="1:14" x14ac:dyDescent="0.3">
      <c r="A13" t="s">
        <v>57</v>
      </c>
      <c r="B13" s="6">
        <f>IF('Data Sheet'!B93&gt;0,B12/'Data Sheet'!B93,0)</f>
        <v>5.7593800978792826</v>
      </c>
      <c r="C13" s="6">
        <f>IF('Data Sheet'!C93&gt;0,C12/'Data Sheet'!C93,0)</f>
        <v>10.707177814029365</v>
      </c>
      <c r="D13" s="6">
        <f>IF('Data Sheet'!D93&gt;0,D12/'Data Sheet'!D93,0)</f>
        <v>28.30505709624796</v>
      </c>
      <c r="E13" s="6">
        <f>IF('Data Sheet'!E93&gt;0,E12/'Data Sheet'!E93,0)</f>
        <v>39.064437194127244</v>
      </c>
      <c r="F13" s="6">
        <f>IF('Data Sheet'!F93&gt;0,F12/'Data Sheet'!F93,0)</f>
        <v>38.519575856443723</v>
      </c>
      <c r="G13" s="6">
        <f>IF('Data Sheet'!G93&gt;0,G12/'Data Sheet'!G93,0)</f>
        <v>64.64836795252225</v>
      </c>
      <c r="H13" s="6">
        <f>IF('Data Sheet'!H93&gt;0,H12/'Data Sheet'!H93,0)</f>
        <v>55.835481425322214</v>
      </c>
      <c r="I13" s="6">
        <f>IF('Data Sheet'!I93&gt;0,I12/'Data Sheet'!I93,0)</f>
        <v>48.277482941622438</v>
      </c>
      <c r="J13" s="6">
        <f>IF('Data Sheet'!J93&gt;0,J12/'Data Sheet'!J93,0)</f>
        <v>97.434389140271492</v>
      </c>
      <c r="K13" s="6">
        <f>IF('Data Sheet'!K93&gt;0,K12/'Data Sheet'!K93,0)</f>
        <v>113.04200178731011</v>
      </c>
      <c r="L13" s="6">
        <f>IF('Data Sheet'!$B6&gt;0,'Profit &amp; Loss'!L12/'Data Sheet'!$B6,0)</f>
        <v>113.06443487947053</v>
      </c>
      <c r="M13" s="6">
        <f>IF('Data Sheet'!$B6&gt;0,'Profit &amp; Loss'!M12/'Data Sheet'!$B6,0)</f>
        <v>79.36034360886957</v>
      </c>
      <c r="N13" s="6">
        <f>IF('Data Sheet'!$B6&gt;0,'Profit &amp; Loss'!N12/'Data Sheet'!$B6,0)</f>
        <v>65.957229829927982</v>
      </c>
    </row>
    <row r="14" spans="1:14" x14ac:dyDescent="0.3">
      <c r="A14" t="s">
        <v>16</v>
      </c>
      <c r="B14" s="6">
        <f>IF(B15&gt;0,B15/B13,"")</f>
        <v>24.177949298966151</v>
      </c>
      <c r="C14" s="6">
        <f t="shared" ref="C14:K14" si="2">IF(C15&gt;0,C15/C13,"")</f>
        <v>50.316713643635254</v>
      </c>
      <c r="D14" s="6">
        <f t="shared" si="2"/>
        <v>28.902962365281542</v>
      </c>
      <c r="E14" s="6">
        <f t="shared" si="2"/>
        <v>20.3778694172426</v>
      </c>
      <c r="F14" s="6">
        <f t="shared" si="2"/>
        <v>17.201643197458971</v>
      </c>
      <c r="G14" s="6">
        <f t="shared" si="2"/>
        <v>19.920069767975583</v>
      </c>
      <c r="H14" s="6">
        <f t="shared" si="2"/>
        <v>30.282715521338275</v>
      </c>
      <c r="I14" s="6">
        <f t="shared" si="2"/>
        <v>39.170434844059173</v>
      </c>
      <c r="J14" s="6">
        <f t="shared" si="2"/>
        <v>28.504309664236292</v>
      </c>
      <c r="K14" s="6">
        <f t="shared" si="2"/>
        <v>28.750817825351398</v>
      </c>
      <c r="L14" s="6">
        <f t="shared" ref="L14" si="3">IF(L13&gt;0,L15/L13,0)</f>
        <v>29.239963950859327</v>
      </c>
      <c r="M14" s="6">
        <f>M25</f>
        <v>31.41638157112655</v>
      </c>
      <c r="N14" s="6">
        <f>N25</f>
        <v>26.680978023565203</v>
      </c>
    </row>
    <row r="15" spans="1:14" s="2" customFormat="1" x14ac:dyDescent="0.3">
      <c r="A15" s="2" t="s">
        <v>58</v>
      </c>
      <c r="B15" s="1">
        <f>'Data Sheet'!B90</f>
        <v>139.25</v>
      </c>
      <c r="C15" s="1">
        <f>'Data Sheet'!C90</f>
        <v>538.75</v>
      </c>
      <c r="D15" s="1">
        <f>'Data Sheet'!D90</f>
        <v>818.1</v>
      </c>
      <c r="E15" s="1">
        <f>'Data Sheet'!E90</f>
        <v>796.05</v>
      </c>
      <c r="F15" s="1">
        <f>'Data Sheet'!F90</f>
        <v>662.6</v>
      </c>
      <c r="G15" s="1">
        <f>'Data Sheet'!G90</f>
        <v>1287.8</v>
      </c>
      <c r="H15" s="1">
        <f>'Data Sheet'!H90</f>
        <v>1690.85</v>
      </c>
      <c r="I15" s="1">
        <f>'Data Sheet'!I90</f>
        <v>1891.05</v>
      </c>
      <c r="J15" s="1">
        <f>'Data Sheet'!J90</f>
        <v>2777.3</v>
      </c>
      <c r="K15" s="1">
        <f>'Data Sheet'!K90</f>
        <v>3250.05</v>
      </c>
      <c r="L15" s="1">
        <f>'Data Sheet'!B8</f>
        <v>3306</v>
      </c>
      <c r="M15" s="8">
        <f>M13*M14</f>
        <v>2493.2148364319605</v>
      </c>
      <c r="N15" s="9">
        <f>N13*N14</f>
        <v>1759.8033995875478</v>
      </c>
    </row>
    <row r="17" spans="1:14" s="2" customFormat="1" x14ac:dyDescent="0.3">
      <c r="A17" s="2" t="s">
        <v>15</v>
      </c>
    </row>
    <row r="18" spans="1:14" x14ac:dyDescent="0.3">
      <c r="A18" t="s">
        <v>17</v>
      </c>
      <c r="B18" s="5">
        <f>IF('Data Sheet'!B30&gt;0, 'Data Sheet'!B31/'Data Sheet'!B30, 0)</f>
        <v>0.20832743237501772</v>
      </c>
      <c r="C18" s="5">
        <f>IF('Data Sheet'!C30&gt;0, 'Data Sheet'!C31/'Data Sheet'!C30, 0)</f>
        <v>0.14009293821893806</v>
      </c>
      <c r="D18" s="5">
        <f>IF('Data Sheet'!D30&gt;0, 'Data Sheet'!D31/'Data Sheet'!D30, 0)</f>
        <v>7.0658751656965016E-2</v>
      </c>
      <c r="E18" s="5">
        <f>IF('Data Sheet'!E30&gt;0, 'Data Sheet'!E31/'Data Sheet'!E30, 0)</f>
        <v>6.3975946380473145E-2</v>
      </c>
      <c r="F18" s="5">
        <f>IF('Data Sheet'!F30&gt;0, 'Data Sheet'!F31/'Data Sheet'!F30, 0)</f>
        <v>6.488088935944944E-2</v>
      </c>
      <c r="G18" s="5">
        <f>IF('Data Sheet'!G30&gt;0, 'Data Sheet'!G31/'Data Sheet'!G30, 0)</f>
        <v>0.11603515938769421</v>
      </c>
      <c r="H18" s="5">
        <f>IF('Data Sheet'!H30&gt;0, 'Data Sheet'!H31/'Data Sheet'!H30, 0)</f>
        <v>0.12540904585387047</v>
      </c>
      <c r="I18" s="5">
        <f>IF('Data Sheet'!I30&gt;0, 'Data Sheet'!I31/'Data Sheet'!I30, 0)</f>
        <v>0.14504224378906372</v>
      </c>
      <c r="J18" s="5">
        <f>IF('Data Sheet'!J30&gt;0, 'Data Sheet'!J31/'Data Sheet'!J30, 0)</f>
        <v>0.18473970185296984</v>
      </c>
      <c r="K18" s="5">
        <f>IF('Data Sheet'!K30&gt;0, 'Data Sheet'!K31/'Data Sheet'!K30, 0)</f>
        <v>0.24764810979176877</v>
      </c>
    </row>
    <row r="19" spans="1:14" x14ac:dyDescent="0.3">
      <c r="A19" t="s">
        <v>18</v>
      </c>
      <c r="B19" s="5">
        <f t="shared" ref="B19:L19" si="4">IF(B6&gt;0,B6/B4,0)</f>
        <v>4.689698979309375E-2</v>
      </c>
      <c r="C19" s="5">
        <f t="shared" ref="C19:K19" si="5">IF(C6&gt;0,C6/C4,0)</f>
        <v>6.4597993404626242E-2</v>
      </c>
      <c r="D19" s="5">
        <f t="shared" si="5"/>
        <v>0.10937197341945794</v>
      </c>
      <c r="E19" s="5">
        <f t="shared" si="5"/>
        <v>0.11538928333029912</v>
      </c>
      <c r="F19" s="5">
        <f t="shared" si="5"/>
        <v>0.11382267744561626</v>
      </c>
      <c r="G19" s="5">
        <f t="shared" si="5"/>
        <v>0.16052930962217823</v>
      </c>
      <c r="H19" s="5">
        <f t="shared" si="5"/>
        <v>0.132652262569257</v>
      </c>
      <c r="I19" s="5">
        <f t="shared" si="5"/>
        <v>9.1359392740746184E-2</v>
      </c>
      <c r="J19" s="5">
        <f t="shared" si="5"/>
        <v>0.11530163950144784</v>
      </c>
      <c r="K19" s="5">
        <f t="shared" si="5"/>
        <v>0.11364736798947261</v>
      </c>
      <c r="L19" s="5">
        <f t="shared" si="4"/>
        <v>0.11600756635337234</v>
      </c>
    </row>
    <row r="20" spans="1:14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4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4" s="2" customFormat="1" x14ac:dyDescent="0.3">
      <c r="A22" s="11"/>
      <c r="B22" s="12"/>
      <c r="C22" s="12"/>
      <c r="D22" s="12"/>
      <c r="E22" s="12"/>
      <c r="F22" s="12"/>
      <c r="G22" s="12" t="s">
        <v>19</v>
      </c>
      <c r="H22" s="12" t="s">
        <v>65</v>
      </c>
      <c r="I22" s="12" t="s">
        <v>66</v>
      </c>
      <c r="J22" s="12" t="s">
        <v>67</v>
      </c>
      <c r="K22" s="12" t="s">
        <v>68</v>
      </c>
      <c r="L22" s="13" t="s">
        <v>69</v>
      </c>
      <c r="M22" s="13" t="s">
        <v>20</v>
      </c>
      <c r="N22" s="13" t="s">
        <v>21</v>
      </c>
    </row>
    <row r="23" spans="1:14" s="2" customFormat="1" x14ac:dyDescent="0.3">
      <c r="A23"/>
      <c r="B23"/>
      <c r="C23"/>
      <c r="D23"/>
      <c r="E23"/>
      <c r="F23"/>
      <c r="G23" t="s">
        <v>22</v>
      </c>
      <c r="H23" s="5">
        <f>IF(B4=0,"",POWER($K4/B4,1/9)-1)</f>
        <v>0.12919440792074877</v>
      </c>
      <c r="I23" s="5">
        <f>IF(D4=0,"",POWER($K4/D4,1/7)-1)</f>
        <v>0.10603082502623873</v>
      </c>
      <c r="J23" s="5">
        <f>IF(F4=0,"",POWER($K4/F4,1/5)-1)</f>
        <v>0.12009878080302561</v>
      </c>
      <c r="K23" s="5">
        <f>IF(H4=0,"",POWER($K4/H4, 1/3)-1)</f>
        <v>0.12044793693664957</v>
      </c>
      <c r="L23" s="5">
        <f>IF(ISERROR(MAX(IF(J4=0,"",(K4-J4)/J4),IF(K4=0,"",(L4-K4)/K4))),"",MAX(IF(J4=0,"",(K4-J4)/J4),IF(K4=0,"",(L4-K4)/K4)))</f>
        <v>4.4911098893364476E-2</v>
      </c>
      <c r="M23" s="16">
        <f>MAX(K23:L23)</f>
        <v>0.12044793693664957</v>
      </c>
      <c r="N23" s="16">
        <f>MIN(H23:L23)</f>
        <v>4.4911098893364476E-2</v>
      </c>
    </row>
    <row r="24" spans="1:14" x14ac:dyDescent="0.3">
      <c r="G24" t="s">
        <v>18</v>
      </c>
      <c r="H24" s="5">
        <f>IF(SUM(B4:$K$4)=0,"",SUMPRODUCT(B19:$K$19,B4:$K$4)/SUM(B4:$K$4))</f>
        <v>0.11147639370498791</v>
      </c>
      <c r="I24" s="5">
        <f>IF(SUM(E4:$K$4)=0,"",SUMPRODUCT(E19:$K$19,E4:$K$4)/SUM(E4:$K$4))</f>
        <v>0.11925479904035596</v>
      </c>
      <c r="J24" s="5">
        <f>IF(SUM(G4:$K$4)=0,"",SUMPRODUCT(G19:$K$19,G4:$K$4)/SUM(G4:$K$4))</f>
        <v>0.12055858302026749</v>
      </c>
      <c r="K24" s="5">
        <f>IF(SUM(I4:$K$4)=0, "", SUMPRODUCT(I19:$K$19,I4:$K$4)/SUM(I4:$K$4))</f>
        <v>0.10761984761990374</v>
      </c>
      <c r="L24" s="5">
        <f>L19</f>
        <v>0.11600756635337234</v>
      </c>
      <c r="M24" s="16">
        <f>MAX(K24:L24)</f>
        <v>0.11600756635337234</v>
      </c>
      <c r="N24" s="16">
        <f>MIN(H24:L24)</f>
        <v>0.10761984761990374</v>
      </c>
    </row>
    <row r="25" spans="1:14" x14ac:dyDescent="0.3">
      <c r="G25" t="s">
        <v>23</v>
      </c>
      <c r="H25" s="6">
        <f>IF(ISERROR(AVERAGEIF(B14:$L14,"&gt;0")),"",AVERAGEIF(B14:$L14,"&gt;0"))</f>
        <v>28.804131772400414</v>
      </c>
      <c r="I25" s="6">
        <f>IF(ISERROR(AVERAGEIF(E14:$L14,"&gt;0")),"",AVERAGEIF(E14:$L14,"&gt;0"))</f>
        <v>26.680978023565203</v>
      </c>
      <c r="J25" s="6">
        <f>IF(ISERROR(AVERAGEIF(G14:$L14,"&gt;0")),"",AVERAGEIF(G14:$L14,"&gt;0"))</f>
        <v>29.311385262303343</v>
      </c>
      <c r="K25" s="6">
        <f>IF(ISERROR(AVERAGEIF(I14:$L14,"&gt;0")),"",AVERAGEIF(I14:$L14,"&gt;0"))</f>
        <v>31.41638157112655</v>
      </c>
      <c r="L25" s="6">
        <f>L14</f>
        <v>29.239963950859327</v>
      </c>
      <c r="M25" s="1">
        <f>MAX(K25:L25)</f>
        <v>31.41638157112655</v>
      </c>
      <c r="N25" s="1">
        <f>MIN(H25:L25)</f>
        <v>26.680978023565203</v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Normal="100" workbookViewId="0">
      <pane xSplit="1" ySplit="3" topLeftCell="D12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customWidth="1"/>
    <col min="2" max="11" width="13.44140625" bestFit="1" customWidth="1"/>
  </cols>
  <sheetData>
    <row r="1" spans="1:11" s="2" customFormat="1" x14ac:dyDescent="0.3">
      <c r="A1" s="2" t="str">
        <f>'Profit &amp; Loss'!A1</f>
        <v>ESCORTS KUBOTA LTD</v>
      </c>
      <c r="E1" t="str">
        <f>UPDATE</f>
        <v/>
      </c>
      <c r="J1" s="2" t="s">
        <v>1</v>
      </c>
    </row>
    <row r="3" spans="1:11" s="2" customFormat="1" x14ac:dyDescent="0.3">
      <c r="A3" s="11" t="s">
        <v>2</v>
      </c>
      <c r="B3" s="12">
        <f>'Data Sheet'!B41</f>
        <v>44926</v>
      </c>
      <c r="C3" s="12">
        <f>'Data Sheet'!C41</f>
        <v>45016</v>
      </c>
      <c r="D3" s="12">
        <f>'Data Sheet'!D41</f>
        <v>45107</v>
      </c>
      <c r="E3" s="12">
        <f>'Data Sheet'!E41</f>
        <v>45199</v>
      </c>
      <c r="F3" s="12">
        <f>'Data Sheet'!F41</f>
        <v>45291</v>
      </c>
      <c r="G3" s="12">
        <f>'Data Sheet'!G41</f>
        <v>45382</v>
      </c>
      <c r="H3" s="12">
        <f>'Data Sheet'!H41</f>
        <v>45473</v>
      </c>
      <c r="I3" s="12">
        <f>'Data Sheet'!I41</f>
        <v>45565</v>
      </c>
      <c r="J3" s="12">
        <f>'Data Sheet'!J41</f>
        <v>45657</v>
      </c>
      <c r="K3" s="12">
        <f>'Data Sheet'!K41</f>
        <v>45747</v>
      </c>
    </row>
    <row r="4" spans="1:11" s="2" customFormat="1" x14ac:dyDescent="0.3">
      <c r="A4" s="2" t="s">
        <v>6</v>
      </c>
      <c r="B4" s="1">
        <f>'Data Sheet'!B42</f>
        <v>2291.35</v>
      </c>
      <c r="C4" s="1">
        <f>'Data Sheet'!C42</f>
        <v>2214.48</v>
      </c>
      <c r="D4" s="1">
        <f>'Data Sheet'!D42</f>
        <v>2355.17</v>
      </c>
      <c r="E4" s="1">
        <f>'Data Sheet'!E42</f>
        <v>2477.71</v>
      </c>
      <c r="F4" s="1">
        <f>'Data Sheet'!F42</f>
        <v>2727.61</v>
      </c>
      <c r="G4" s="1">
        <f>'Data Sheet'!G42</f>
        <v>2300.66</v>
      </c>
      <c r="H4" s="1">
        <f>'Data Sheet'!H42</f>
        <v>2818.39</v>
      </c>
      <c r="I4" s="1">
        <f>'Data Sheet'!I42</f>
        <v>2277.25</v>
      </c>
      <c r="J4" s="1">
        <f>'Data Sheet'!J42</f>
        <v>2948.02</v>
      </c>
      <c r="K4" s="1">
        <f>'Data Sheet'!K42</f>
        <v>2444.88</v>
      </c>
    </row>
    <row r="5" spans="1:11" x14ac:dyDescent="0.3">
      <c r="A5" t="s">
        <v>7</v>
      </c>
      <c r="B5" s="6">
        <f>'Data Sheet'!B43</f>
        <v>2105.96</v>
      </c>
      <c r="C5" s="6">
        <f>'Data Sheet'!C43</f>
        <v>1981.32</v>
      </c>
      <c r="D5" s="6">
        <f>'Data Sheet'!D43</f>
        <v>2024.12</v>
      </c>
      <c r="E5" s="6">
        <f>'Data Sheet'!E43</f>
        <v>2213.52</v>
      </c>
      <c r="F5" s="6">
        <f>'Data Sheet'!F43</f>
        <v>2402.3200000000002</v>
      </c>
      <c r="G5" s="6">
        <f>'Data Sheet'!G43</f>
        <v>2015.25</v>
      </c>
      <c r="H5" s="6">
        <f>'Data Sheet'!H43</f>
        <v>2450.9899999999998</v>
      </c>
      <c r="I5" s="6">
        <f>'Data Sheet'!I43</f>
        <v>2047.43</v>
      </c>
      <c r="J5" s="6">
        <f>'Data Sheet'!J43</f>
        <v>2615.7399999999998</v>
      </c>
      <c r="K5" s="6">
        <f>'Data Sheet'!K43</f>
        <v>2157.63</v>
      </c>
    </row>
    <row r="6" spans="1:11" s="2" customFormat="1" x14ac:dyDescent="0.3">
      <c r="A6" s="2" t="s">
        <v>8</v>
      </c>
      <c r="B6" s="1">
        <f>'Data Sheet'!B50</f>
        <v>185.39</v>
      </c>
      <c r="C6" s="1">
        <f>'Data Sheet'!C50</f>
        <v>233.16</v>
      </c>
      <c r="D6" s="1">
        <f>'Data Sheet'!D50</f>
        <v>331.05</v>
      </c>
      <c r="E6" s="1">
        <f>'Data Sheet'!E50</f>
        <v>264.19</v>
      </c>
      <c r="F6" s="1">
        <f>'Data Sheet'!F50</f>
        <v>325.29000000000002</v>
      </c>
      <c r="G6" s="1">
        <f>'Data Sheet'!G50</f>
        <v>285.41000000000003</v>
      </c>
      <c r="H6" s="1">
        <f>'Data Sheet'!H50</f>
        <v>367.4</v>
      </c>
      <c r="I6" s="1">
        <f>'Data Sheet'!I50</f>
        <v>229.82</v>
      </c>
      <c r="J6" s="1">
        <f>'Data Sheet'!J50</f>
        <v>332.28</v>
      </c>
      <c r="K6" s="1">
        <f>'Data Sheet'!K50</f>
        <v>287.25</v>
      </c>
    </row>
    <row r="7" spans="1:11" x14ac:dyDescent="0.3">
      <c r="A7" t="s">
        <v>9</v>
      </c>
      <c r="B7" s="6">
        <f>'Data Sheet'!B44</f>
        <v>91.68</v>
      </c>
      <c r="C7" s="6">
        <f>'Data Sheet'!C44</f>
        <v>86.46</v>
      </c>
      <c r="D7" s="6">
        <f>'Data Sheet'!D44</f>
        <v>99.02</v>
      </c>
      <c r="E7" s="6">
        <f>'Data Sheet'!E44</f>
        <v>93.75</v>
      </c>
      <c r="F7" s="6">
        <f>'Data Sheet'!F44</f>
        <v>128.6</v>
      </c>
      <c r="G7" s="6">
        <f>'Data Sheet'!G44</f>
        <v>132.77000000000001</v>
      </c>
      <c r="H7" s="6">
        <f>'Data Sheet'!H44</f>
        <v>103.04</v>
      </c>
      <c r="I7" s="6">
        <f>'Data Sheet'!I44</f>
        <v>140.05000000000001</v>
      </c>
      <c r="J7" s="6">
        <f>'Data Sheet'!J44</f>
        <v>142.6</v>
      </c>
      <c r="K7" s="6">
        <f>'Data Sheet'!K44</f>
        <v>177.6</v>
      </c>
    </row>
    <row r="8" spans="1:11" x14ac:dyDescent="0.3">
      <c r="A8" t="s">
        <v>10</v>
      </c>
      <c r="B8" s="6">
        <f>'Data Sheet'!B45</f>
        <v>37.97</v>
      </c>
      <c r="C8" s="6">
        <f>'Data Sheet'!C45</f>
        <v>38.369999999999997</v>
      </c>
      <c r="D8" s="6">
        <f>'Data Sheet'!D45</f>
        <v>40.299999999999997</v>
      </c>
      <c r="E8" s="6">
        <f>'Data Sheet'!E45</f>
        <v>58.34</v>
      </c>
      <c r="F8" s="6">
        <f>'Data Sheet'!F45</f>
        <v>56.62</v>
      </c>
      <c r="G8" s="6">
        <f>'Data Sheet'!G45</f>
        <v>59.24</v>
      </c>
      <c r="H8" s="6">
        <f>'Data Sheet'!H45</f>
        <v>61.63</v>
      </c>
      <c r="I8" s="6">
        <f>'Data Sheet'!I45</f>
        <v>61.07</v>
      </c>
      <c r="J8" s="6">
        <f>'Data Sheet'!J45</f>
        <v>61.53</v>
      </c>
      <c r="K8" s="6">
        <f>'Data Sheet'!K45</f>
        <v>61.97</v>
      </c>
    </row>
    <row r="9" spans="1:11" x14ac:dyDescent="0.3">
      <c r="A9" t="s">
        <v>11</v>
      </c>
      <c r="B9" s="6">
        <f>'Data Sheet'!B46</f>
        <v>3.48</v>
      </c>
      <c r="C9" s="6">
        <f>'Data Sheet'!C46</f>
        <v>3.63</v>
      </c>
      <c r="D9" s="6">
        <f>'Data Sheet'!D46</f>
        <v>3.43</v>
      </c>
      <c r="E9" s="6">
        <f>'Data Sheet'!E46</f>
        <v>9.43</v>
      </c>
      <c r="F9" s="6">
        <f>'Data Sheet'!F46</f>
        <v>11.16</v>
      </c>
      <c r="G9" s="6">
        <f>'Data Sheet'!G46</f>
        <v>11.66</v>
      </c>
      <c r="H9" s="6">
        <f>'Data Sheet'!H46</f>
        <v>10.73</v>
      </c>
      <c r="I9" s="6">
        <f>'Data Sheet'!I46</f>
        <v>9.7899999999999991</v>
      </c>
      <c r="J9" s="6">
        <f>'Data Sheet'!J46</f>
        <v>3.54</v>
      </c>
      <c r="K9" s="6">
        <f>'Data Sheet'!K46</f>
        <v>5.14</v>
      </c>
    </row>
    <row r="10" spans="1:11" x14ac:dyDescent="0.3">
      <c r="A10" t="s">
        <v>12</v>
      </c>
      <c r="B10" s="6">
        <f>'Data Sheet'!B47</f>
        <v>235.62</v>
      </c>
      <c r="C10" s="6">
        <f>'Data Sheet'!C47</f>
        <v>277.62</v>
      </c>
      <c r="D10" s="6">
        <f>'Data Sheet'!D47</f>
        <v>386.34</v>
      </c>
      <c r="E10" s="6">
        <f>'Data Sheet'!E47</f>
        <v>290.17</v>
      </c>
      <c r="F10" s="6">
        <f>'Data Sheet'!F47</f>
        <v>386.11</v>
      </c>
      <c r="G10" s="6">
        <f>'Data Sheet'!G47</f>
        <v>347.28</v>
      </c>
      <c r="H10" s="6">
        <f>'Data Sheet'!H47</f>
        <v>398.08</v>
      </c>
      <c r="I10" s="6">
        <f>'Data Sheet'!I47</f>
        <v>299.01</v>
      </c>
      <c r="J10" s="6">
        <f>'Data Sheet'!J47</f>
        <v>409.81</v>
      </c>
      <c r="K10" s="6">
        <f>'Data Sheet'!K47</f>
        <v>397.74</v>
      </c>
    </row>
    <row r="11" spans="1:11" x14ac:dyDescent="0.3">
      <c r="A11" t="s">
        <v>13</v>
      </c>
      <c r="B11" s="6">
        <f>'Data Sheet'!B48</f>
        <v>54.82</v>
      </c>
      <c r="C11" s="6">
        <f>'Data Sheet'!C48</f>
        <v>61.16</v>
      </c>
      <c r="D11" s="6">
        <f>'Data Sheet'!D48</f>
        <v>96.45</v>
      </c>
      <c r="E11" s="6">
        <f>'Data Sheet'!E48</f>
        <v>79.66</v>
      </c>
      <c r="F11" s="6">
        <f>'Data Sheet'!F48</f>
        <v>87.59</v>
      </c>
      <c r="G11" s="6">
        <f>'Data Sheet'!G48</f>
        <v>77.3</v>
      </c>
      <c r="H11" s="6">
        <f>'Data Sheet'!H48</f>
        <v>96.4</v>
      </c>
      <c r="I11" s="6">
        <f>'Data Sheet'!I48</f>
        <v>-25.21</v>
      </c>
      <c r="J11" s="6">
        <f>'Data Sheet'!J48</f>
        <v>89.18</v>
      </c>
      <c r="K11" s="6">
        <f>'Data Sheet'!K48</f>
        <v>79.319999999999993</v>
      </c>
    </row>
    <row r="12" spans="1:11" s="2" customFormat="1" x14ac:dyDescent="0.3">
      <c r="A12" s="2" t="s">
        <v>14</v>
      </c>
      <c r="B12" s="1">
        <f>'Data Sheet'!B49</f>
        <v>180.82</v>
      </c>
      <c r="C12" s="1">
        <f>'Data Sheet'!C49</f>
        <v>216.49</v>
      </c>
      <c r="D12" s="1">
        <f>'Data Sheet'!D49</f>
        <v>289.89999999999998</v>
      </c>
      <c r="E12" s="1">
        <f>'Data Sheet'!E49</f>
        <v>210.53</v>
      </c>
      <c r="F12" s="1">
        <f>'Data Sheet'!F49</f>
        <v>298.51</v>
      </c>
      <c r="G12" s="1">
        <f>'Data Sheet'!G49</f>
        <v>269.99</v>
      </c>
      <c r="H12" s="1">
        <f>'Data Sheet'!H49</f>
        <v>301.64999999999998</v>
      </c>
      <c r="I12" s="1">
        <f>'Data Sheet'!I49</f>
        <v>324.23</v>
      </c>
      <c r="J12" s="1">
        <f>'Data Sheet'!J49</f>
        <v>320.64</v>
      </c>
      <c r="K12" s="1">
        <f>'Data Sheet'!K49</f>
        <v>318.42</v>
      </c>
    </row>
    <row r="14" spans="1:11" s="2" customFormat="1" x14ac:dyDescent="0.3">
      <c r="A14" s="2" t="s">
        <v>18</v>
      </c>
      <c r="B14" s="10">
        <f>IF(B4&gt;0,B6/B4,"")</f>
        <v>8.0908634647696764E-2</v>
      </c>
      <c r="C14" s="10">
        <f t="shared" ref="C14:K14" si="0">IF(C4&gt;0,C6/C4,"")</f>
        <v>0.10528882627072721</v>
      </c>
      <c r="D14" s="10">
        <f t="shared" si="0"/>
        <v>0.1405631016020075</v>
      </c>
      <c r="E14" s="10">
        <f t="shared" si="0"/>
        <v>0.10662668351017673</v>
      </c>
      <c r="F14" s="10">
        <f t="shared" si="0"/>
        <v>0.11925825172953612</v>
      </c>
      <c r="G14" s="10">
        <f t="shared" si="0"/>
        <v>0.12405570575400104</v>
      </c>
      <c r="H14" s="10">
        <f t="shared" si="0"/>
        <v>0.13035811225557853</v>
      </c>
      <c r="I14" s="10">
        <f t="shared" si="0"/>
        <v>0.10091996926117026</v>
      </c>
      <c r="J14" s="10">
        <f t="shared" si="0"/>
        <v>0.11271293953229625</v>
      </c>
      <c r="K14" s="10">
        <f t="shared" si="0"/>
        <v>0.11749042897810935</v>
      </c>
    </row>
    <row r="22" s="23" customFormat="1" x14ac:dyDescent="0.3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bestFit="1" customWidth="1"/>
    <col min="2" max="2" width="13.44140625" customWidth="1"/>
    <col min="3" max="11" width="15.44140625" customWidth="1"/>
  </cols>
  <sheetData>
    <row r="1" spans="1:11" s="2" customFormat="1" x14ac:dyDescent="0.3">
      <c r="A1" s="2" t="str">
        <f>'Profit &amp; Loss'!A1</f>
        <v>ESCORTS KUBOTA LTD</v>
      </c>
      <c r="E1" t="str">
        <f>UPDATE</f>
        <v/>
      </c>
      <c r="G1"/>
      <c r="J1" s="2" t="s">
        <v>1</v>
      </c>
    </row>
    <row r="2" spans="1:11" x14ac:dyDescent="0.3">
      <c r="G2" s="2"/>
      <c r="H2" s="2"/>
    </row>
    <row r="3" spans="1:11" x14ac:dyDescent="0.3">
      <c r="A3" s="11" t="s">
        <v>2</v>
      </c>
      <c r="B3" s="12">
        <f>'Data Sheet'!B56</f>
        <v>42460</v>
      </c>
      <c r="C3" s="12">
        <f>'Data Sheet'!C56</f>
        <v>42825</v>
      </c>
      <c r="D3" s="12">
        <f>'Data Sheet'!D56</f>
        <v>43190</v>
      </c>
      <c r="E3" s="12">
        <f>'Data Sheet'!E56</f>
        <v>43555</v>
      </c>
      <c r="F3" s="12">
        <f>'Data Sheet'!F56</f>
        <v>43921</v>
      </c>
      <c r="G3" s="12">
        <f>'Data Sheet'!G56</f>
        <v>44286</v>
      </c>
      <c r="H3" s="12">
        <f>'Data Sheet'!H56</f>
        <v>44651</v>
      </c>
      <c r="I3" s="12">
        <f>'Data Sheet'!I56</f>
        <v>45016</v>
      </c>
      <c r="J3" s="12">
        <f>'Data Sheet'!J56</f>
        <v>45382</v>
      </c>
      <c r="K3" s="12">
        <f>'Data Sheet'!K56</f>
        <v>45747</v>
      </c>
    </row>
    <row r="4" spans="1:11" x14ac:dyDescent="0.3">
      <c r="A4" t="s">
        <v>24</v>
      </c>
      <c r="B4" s="14">
        <f>'Data Sheet'!B57</f>
        <v>122.58</v>
      </c>
      <c r="C4" s="14">
        <f>'Data Sheet'!C57</f>
        <v>122.58</v>
      </c>
      <c r="D4" s="14">
        <f>'Data Sheet'!D57</f>
        <v>122.58</v>
      </c>
      <c r="E4" s="14">
        <f>'Data Sheet'!E57</f>
        <v>122.58</v>
      </c>
      <c r="F4" s="14">
        <f>'Data Sheet'!F57</f>
        <v>122.58</v>
      </c>
      <c r="G4" s="14">
        <f>'Data Sheet'!G57</f>
        <v>134.83000000000001</v>
      </c>
      <c r="H4" s="14">
        <f>'Data Sheet'!H57</f>
        <v>131.94</v>
      </c>
      <c r="I4" s="14">
        <f>'Data Sheet'!I57</f>
        <v>131.94</v>
      </c>
      <c r="J4" s="14">
        <f>'Data Sheet'!J57</f>
        <v>110.5</v>
      </c>
      <c r="K4" s="14">
        <f>'Data Sheet'!K57</f>
        <v>111.88</v>
      </c>
    </row>
    <row r="5" spans="1:11" x14ac:dyDescent="0.3">
      <c r="A5" t="s">
        <v>25</v>
      </c>
      <c r="B5" s="14">
        <f>'Data Sheet'!B58</f>
        <v>1343.9</v>
      </c>
      <c r="C5" s="14">
        <f>'Data Sheet'!C58</f>
        <v>1498.35</v>
      </c>
      <c r="D5" s="14">
        <f>'Data Sheet'!D58</f>
        <v>2092.56</v>
      </c>
      <c r="E5" s="14">
        <f>'Data Sheet'!E58</f>
        <v>2550.91</v>
      </c>
      <c r="F5" s="14">
        <f>'Data Sheet'!F58</f>
        <v>2994.82</v>
      </c>
      <c r="G5" s="14">
        <f>'Data Sheet'!G58</f>
        <v>4891.3</v>
      </c>
      <c r="H5" s="14">
        <f>'Data Sheet'!H58</f>
        <v>7467.96</v>
      </c>
      <c r="I5" s="14">
        <f>'Data Sheet'!I58</f>
        <v>8054.77</v>
      </c>
      <c r="J5" s="14">
        <f>'Data Sheet'!J58</f>
        <v>9278.01</v>
      </c>
      <c r="K5" s="14">
        <f>'Data Sheet'!K58</f>
        <v>10254.92</v>
      </c>
    </row>
    <row r="6" spans="1:11" x14ac:dyDescent="0.3">
      <c r="A6" t="s">
        <v>71</v>
      </c>
      <c r="B6" s="14">
        <f>'Data Sheet'!B59</f>
        <v>368.12</v>
      </c>
      <c r="C6" s="14">
        <f>'Data Sheet'!C59</f>
        <v>265.43</v>
      </c>
      <c r="D6" s="14">
        <f>'Data Sheet'!D59</f>
        <v>51.09</v>
      </c>
      <c r="E6" s="14">
        <f>'Data Sheet'!E59</f>
        <v>280.95999999999998</v>
      </c>
      <c r="F6" s="14">
        <f>'Data Sheet'!F59</f>
        <v>47.67</v>
      </c>
      <c r="G6" s="14">
        <f>'Data Sheet'!G59</f>
        <v>60.61</v>
      </c>
      <c r="H6" s="14">
        <f>'Data Sheet'!H59</f>
        <v>51.95</v>
      </c>
      <c r="I6" s="14">
        <f>'Data Sheet'!I59</f>
        <v>57.3</v>
      </c>
      <c r="J6" s="14">
        <f>'Data Sheet'!J59</f>
        <v>448.46</v>
      </c>
      <c r="K6" s="14">
        <f>'Data Sheet'!K59</f>
        <v>105.18</v>
      </c>
    </row>
    <row r="7" spans="1:11" x14ac:dyDescent="0.3">
      <c r="A7" t="s">
        <v>72</v>
      </c>
      <c r="B7" s="14">
        <f>'Data Sheet'!B60</f>
        <v>1133.58</v>
      </c>
      <c r="C7" s="14">
        <f>'Data Sheet'!C60</f>
        <v>1312.86</v>
      </c>
      <c r="D7" s="14">
        <f>'Data Sheet'!D60</f>
        <v>1706.3</v>
      </c>
      <c r="E7" s="14">
        <f>'Data Sheet'!E60</f>
        <v>1752.52</v>
      </c>
      <c r="F7" s="14">
        <f>'Data Sheet'!F60</f>
        <v>1848.89</v>
      </c>
      <c r="G7" s="14">
        <f>'Data Sheet'!G60</f>
        <v>1791.43</v>
      </c>
      <c r="H7" s="14">
        <f>'Data Sheet'!H60</f>
        <v>1455.89</v>
      </c>
      <c r="I7" s="14">
        <f>'Data Sheet'!I60</f>
        <v>1840.81</v>
      </c>
      <c r="J7" s="14">
        <f>'Data Sheet'!J60</f>
        <v>2563.39</v>
      </c>
      <c r="K7" s="14">
        <f>'Data Sheet'!K60</f>
        <v>2622.71</v>
      </c>
    </row>
    <row r="8" spans="1:11" s="2" customFormat="1" x14ac:dyDescent="0.3">
      <c r="A8" s="2" t="s">
        <v>26</v>
      </c>
      <c r="B8" s="15">
        <f>'Data Sheet'!B61</f>
        <v>2968.18</v>
      </c>
      <c r="C8" s="15">
        <f>'Data Sheet'!C61</f>
        <v>3199.22</v>
      </c>
      <c r="D8" s="15">
        <f>'Data Sheet'!D61</f>
        <v>3972.53</v>
      </c>
      <c r="E8" s="15">
        <f>'Data Sheet'!E61</f>
        <v>4706.97</v>
      </c>
      <c r="F8" s="15">
        <f>'Data Sheet'!F61</f>
        <v>5013.96</v>
      </c>
      <c r="G8" s="15">
        <f>'Data Sheet'!G61</f>
        <v>6878.17</v>
      </c>
      <c r="H8" s="15">
        <f>'Data Sheet'!H61</f>
        <v>9107.74</v>
      </c>
      <c r="I8" s="15">
        <f>'Data Sheet'!I61</f>
        <v>10084.82</v>
      </c>
      <c r="J8" s="15">
        <f>'Data Sheet'!J61</f>
        <v>12400.36</v>
      </c>
      <c r="K8" s="15">
        <f>'Data Sheet'!K61</f>
        <v>13094.69</v>
      </c>
    </row>
    <row r="9" spans="1:11" s="2" customFormat="1" x14ac:dyDescent="0.3">
      <c r="B9" s="15"/>
      <c r="C9" s="15"/>
      <c r="D9" s="15"/>
      <c r="E9" s="15"/>
      <c r="F9" s="15"/>
      <c r="G9" s="15"/>
      <c r="H9" s="15"/>
      <c r="I9" s="15"/>
      <c r="J9" s="15"/>
      <c r="K9" s="15"/>
    </row>
    <row r="10" spans="1:11" x14ac:dyDescent="0.3">
      <c r="A10" t="s">
        <v>27</v>
      </c>
      <c r="B10" s="14">
        <f>'Data Sheet'!B62</f>
        <v>1539.02</v>
      </c>
      <c r="C10" s="14">
        <f>'Data Sheet'!C62</f>
        <v>1581.14</v>
      </c>
      <c r="D10" s="14">
        <f>'Data Sheet'!D62</f>
        <v>1587.8</v>
      </c>
      <c r="E10" s="14">
        <f>'Data Sheet'!E62</f>
        <v>1647.23</v>
      </c>
      <c r="F10" s="14">
        <f>'Data Sheet'!F62</f>
        <v>1702.41</v>
      </c>
      <c r="G10" s="14">
        <f>'Data Sheet'!G62</f>
        <v>1796.23</v>
      </c>
      <c r="H10" s="14">
        <f>'Data Sheet'!H62</f>
        <v>1841.05</v>
      </c>
      <c r="I10" s="14">
        <f>'Data Sheet'!I62</f>
        <v>1891.15</v>
      </c>
      <c r="J10" s="14">
        <f>'Data Sheet'!J62</f>
        <v>2165.2800000000002</v>
      </c>
      <c r="K10" s="14">
        <f>'Data Sheet'!K62</f>
        <v>2053.1799999999998</v>
      </c>
    </row>
    <row r="11" spans="1:11" x14ac:dyDescent="0.3">
      <c r="A11" t="s">
        <v>28</v>
      </c>
      <c r="B11" s="14">
        <f>'Data Sheet'!B63</f>
        <v>58.43</v>
      </c>
      <c r="C11" s="14">
        <f>'Data Sheet'!C63</f>
        <v>34.700000000000003</v>
      </c>
      <c r="D11" s="14">
        <f>'Data Sheet'!D63</f>
        <v>65.72</v>
      </c>
      <c r="E11" s="14">
        <f>'Data Sheet'!E63</f>
        <v>79.959999999999994</v>
      </c>
      <c r="F11" s="14">
        <f>'Data Sheet'!F63</f>
        <v>124.66</v>
      </c>
      <c r="G11" s="14">
        <f>'Data Sheet'!G63</f>
        <v>64.69</v>
      </c>
      <c r="H11" s="14">
        <f>'Data Sheet'!H63</f>
        <v>87.8</v>
      </c>
      <c r="I11" s="14">
        <f>'Data Sheet'!I63</f>
        <v>113.68</v>
      </c>
      <c r="J11" s="14">
        <f>'Data Sheet'!J63</f>
        <v>161.4</v>
      </c>
      <c r="K11" s="14">
        <f>'Data Sheet'!K63</f>
        <v>152.54</v>
      </c>
    </row>
    <row r="12" spans="1:11" x14ac:dyDescent="0.3">
      <c r="A12" t="s">
        <v>29</v>
      </c>
      <c r="B12" s="14">
        <f>'Data Sheet'!B64</f>
        <v>63.66</v>
      </c>
      <c r="C12" s="14">
        <f>'Data Sheet'!C64</f>
        <v>212.34</v>
      </c>
      <c r="D12" s="14">
        <f>'Data Sheet'!D64</f>
        <v>549.04</v>
      </c>
      <c r="E12" s="14">
        <f>'Data Sheet'!E64</f>
        <v>490.79</v>
      </c>
      <c r="F12" s="14">
        <f>'Data Sheet'!F64</f>
        <v>797.36</v>
      </c>
      <c r="G12" s="14">
        <f>'Data Sheet'!G64</f>
        <v>1938.02</v>
      </c>
      <c r="H12" s="14">
        <f>'Data Sheet'!H64</f>
        <v>4835.84</v>
      </c>
      <c r="I12" s="14">
        <f>'Data Sheet'!I64</f>
        <v>4766.6899999999996</v>
      </c>
      <c r="J12" s="14">
        <f>'Data Sheet'!J64</f>
        <v>5019.4799999999996</v>
      </c>
      <c r="K12" s="14">
        <f>'Data Sheet'!K64</f>
        <v>5605.21</v>
      </c>
    </row>
    <row r="13" spans="1:11" x14ac:dyDescent="0.3">
      <c r="A13" t="s">
        <v>73</v>
      </c>
      <c r="B13" s="14">
        <f>'Data Sheet'!B65</f>
        <v>1307.07</v>
      </c>
      <c r="C13" s="14">
        <f>'Data Sheet'!C65</f>
        <v>1371.04</v>
      </c>
      <c r="D13" s="14">
        <f>'Data Sheet'!D65</f>
        <v>1769.97</v>
      </c>
      <c r="E13" s="14">
        <f>'Data Sheet'!E65</f>
        <v>2488.9899999999998</v>
      </c>
      <c r="F13" s="14">
        <f>'Data Sheet'!F65</f>
        <v>2389.5300000000002</v>
      </c>
      <c r="G13" s="14">
        <f>'Data Sheet'!G65</f>
        <v>3079.23</v>
      </c>
      <c r="H13" s="14">
        <f>'Data Sheet'!H65</f>
        <v>2343.0500000000002</v>
      </c>
      <c r="I13" s="14">
        <f>'Data Sheet'!I65</f>
        <v>3313.3</v>
      </c>
      <c r="J13" s="14">
        <f>'Data Sheet'!J65</f>
        <v>5054.2</v>
      </c>
      <c r="K13" s="14">
        <f>'Data Sheet'!K65</f>
        <v>5283.76</v>
      </c>
    </row>
    <row r="14" spans="1:11" s="2" customFormat="1" x14ac:dyDescent="0.3">
      <c r="A14" s="2" t="s">
        <v>26</v>
      </c>
      <c r="B14" s="14">
        <f>'Data Sheet'!B66</f>
        <v>2968.18</v>
      </c>
      <c r="C14" s="14">
        <f>'Data Sheet'!C66</f>
        <v>3199.22</v>
      </c>
      <c r="D14" s="14">
        <f>'Data Sheet'!D66</f>
        <v>3972.53</v>
      </c>
      <c r="E14" s="14">
        <f>'Data Sheet'!E66</f>
        <v>4706.97</v>
      </c>
      <c r="F14" s="14">
        <f>'Data Sheet'!F66</f>
        <v>5013.96</v>
      </c>
      <c r="G14" s="14">
        <f>'Data Sheet'!G66</f>
        <v>6878.17</v>
      </c>
      <c r="H14" s="14">
        <f>'Data Sheet'!H66</f>
        <v>9107.74</v>
      </c>
      <c r="I14" s="14">
        <f>'Data Sheet'!I66</f>
        <v>10084.82</v>
      </c>
      <c r="J14" s="14">
        <f>'Data Sheet'!J66</f>
        <v>12400.36</v>
      </c>
      <c r="K14" s="14">
        <f>'Data Sheet'!K66</f>
        <v>13094.69</v>
      </c>
    </row>
    <row r="15" spans="1:11" x14ac:dyDescent="0.3"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3">
      <c r="A16" t="s">
        <v>30</v>
      </c>
      <c r="B16" s="4">
        <f>B13-B7</f>
        <v>173.49</v>
      </c>
      <c r="C16" s="4">
        <f t="shared" ref="C16:K16" si="0">C13-C7</f>
        <v>58.180000000000064</v>
      </c>
      <c r="D16" s="4">
        <f t="shared" si="0"/>
        <v>63.670000000000073</v>
      </c>
      <c r="E16" s="4">
        <f t="shared" si="0"/>
        <v>736.4699999999998</v>
      </c>
      <c r="F16" s="4">
        <f t="shared" si="0"/>
        <v>540.6400000000001</v>
      </c>
      <c r="G16" s="4">
        <f t="shared" si="0"/>
        <v>1287.8</v>
      </c>
      <c r="H16" s="4">
        <f t="shared" si="0"/>
        <v>887.16000000000008</v>
      </c>
      <c r="I16" s="4">
        <f t="shared" si="0"/>
        <v>1472.4900000000002</v>
      </c>
      <c r="J16" s="4">
        <f t="shared" si="0"/>
        <v>2490.81</v>
      </c>
      <c r="K16" s="4">
        <f t="shared" si="0"/>
        <v>2661.05</v>
      </c>
    </row>
    <row r="17" spans="1:11" x14ac:dyDescent="0.3">
      <c r="A17" t="s">
        <v>44</v>
      </c>
      <c r="B17" s="4">
        <f>'Data Sheet'!B67</f>
        <v>374.97</v>
      </c>
      <c r="C17" s="4">
        <f>'Data Sheet'!C67</f>
        <v>456.45</v>
      </c>
      <c r="D17" s="4">
        <f>'Data Sheet'!D67</f>
        <v>592</v>
      </c>
      <c r="E17" s="4">
        <f>'Data Sheet'!E67</f>
        <v>931.05</v>
      </c>
      <c r="F17" s="4">
        <f>'Data Sheet'!F67</f>
        <v>731.86</v>
      </c>
      <c r="G17" s="4">
        <f>'Data Sheet'!G67</f>
        <v>657.58</v>
      </c>
      <c r="H17" s="4">
        <f>'Data Sheet'!H67</f>
        <v>792.62</v>
      </c>
      <c r="I17" s="4">
        <f>'Data Sheet'!I67</f>
        <v>1179.6500000000001</v>
      </c>
      <c r="J17" s="4">
        <f>'Data Sheet'!J67</f>
        <v>1427.91</v>
      </c>
      <c r="K17" s="4">
        <f>'Data Sheet'!K67</f>
        <v>1331.84</v>
      </c>
    </row>
    <row r="18" spans="1:11" x14ac:dyDescent="0.3">
      <c r="A18" t="s">
        <v>45</v>
      </c>
      <c r="B18" s="4">
        <f>'Data Sheet'!B68</f>
        <v>456.76</v>
      </c>
      <c r="C18" s="4">
        <f>'Data Sheet'!C68</f>
        <v>450.3</v>
      </c>
      <c r="D18" s="4">
        <f>'Data Sheet'!D68</f>
        <v>565.73</v>
      </c>
      <c r="E18" s="4">
        <f>'Data Sheet'!E68</f>
        <v>857.42</v>
      </c>
      <c r="F18" s="4">
        <f>'Data Sheet'!F68</f>
        <v>883.36</v>
      </c>
      <c r="G18" s="4">
        <f>'Data Sheet'!G68</f>
        <v>718.16</v>
      </c>
      <c r="H18" s="4">
        <f>'Data Sheet'!H68</f>
        <v>846.56</v>
      </c>
      <c r="I18" s="4">
        <f>'Data Sheet'!I68</f>
        <v>1217.68</v>
      </c>
      <c r="J18" s="4">
        <f>'Data Sheet'!J68</f>
        <v>1716.16</v>
      </c>
      <c r="K18" s="4">
        <f>'Data Sheet'!K68</f>
        <v>1398.99</v>
      </c>
    </row>
    <row r="20" spans="1:11" x14ac:dyDescent="0.3">
      <c r="A20" t="s">
        <v>46</v>
      </c>
      <c r="B20" s="4">
        <f>IF('Profit &amp; Loss'!B4&gt;0,'Balance Sheet'!B17/('Profit &amp; Loss'!B4/365),0)</f>
        <v>39.878918644867852</v>
      </c>
      <c r="C20" s="4">
        <f>IF('Profit &amp; Loss'!C4&gt;0,'Balance Sheet'!C17/('Profit &amp; Loss'!C4/365),0)</f>
        <v>40.190829198157928</v>
      </c>
      <c r="D20" s="4">
        <f>IF('Profit &amp; Loss'!D4&gt;0,'Balance Sheet'!D17/('Profit &amp; Loss'!D4/365),0)</f>
        <v>42.709128068087935</v>
      </c>
      <c r="E20" s="4">
        <f>IF('Profit &amp; Loss'!E4&gt;0,'Balance Sheet'!E17/('Profit &amp; Loss'!E4/365),0)</f>
        <v>54.268949955445684</v>
      </c>
      <c r="F20" s="4">
        <f>IF('Profit &amp; Loss'!F4&gt;0,'Balance Sheet'!F17/('Profit &amp; Loss'!F4/365),0)</f>
        <v>45.976723252135507</v>
      </c>
      <c r="G20" s="4">
        <f>IF('Profit &amp; Loss'!G4&gt;0,'Balance Sheet'!G17/('Profit &amp; Loss'!G4/365),0)</f>
        <v>34.217611719857096</v>
      </c>
      <c r="H20" s="4">
        <f>IF('Profit &amp; Loss'!H4&gt;0,'Balance Sheet'!H17/('Profit &amp; Loss'!H4/365),0)</f>
        <v>39.725415885700947</v>
      </c>
      <c r="I20" s="4">
        <f>IF('Profit &amp; Loss'!I4&gt;0,'Balance Sheet'!I17/('Profit &amp; Loss'!I4/365),0)</f>
        <v>51.08412457926439</v>
      </c>
      <c r="J20" s="4">
        <f>IF('Profit &amp; Loss'!J4&gt;0,'Balance Sheet'!J17/('Profit &amp; Loss'!J4/365),0)</f>
        <v>53.162887268847435</v>
      </c>
      <c r="K20" s="4">
        <f>IF('Profit &amp; Loss'!K4&gt;0,'Balance Sheet'!K17/('Profit &amp; Loss'!K4/365),0)</f>
        <v>47.454831567726295</v>
      </c>
    </row>
    <row r="21" spans="1:11" x14ac:dyDescent="0.3">
      <c r="A21" t="s">
        <v>47</v>
      </c>
      <c r="B21" s="4">
        <f>IF('Balance Sheet'!B18&gt;0,'Profit &amp; Loss'!B4/'Balance Sheet'!B18,0)</f>
        <v>7.5137709081355633</v>
      </c>
      <c r="C21" s="4">
        <f>IF('Balance Sheet'!C18&gt;0,'Profit &amp; Loss'!C4/'Balance Sheet'!C18,0)</f>
        <v>9.2057073062402832</v>
      </c>
      <c r="D21" s="4">
        <f>IF('Balance Sheet'!D18&gt;0,'Profit &amp; Loss'!D4/'Balance Sheet'!D18,0)</f>
        <v>8.9430293602955473</v>
      </c>
      <c r="E21" s="4">
        <f>IF('Balance Sheet'!E18&gt;0,'Profit &amp; Loss'!E4/'Balance Sheet'!E18,0)</f>
        <v>7.3033285904224305</v>
      </c>
      <c r="F21" s="4">
        <f>IF('Balance Sheet'!F18&gt;0,'Profit &amp; Loss'!F4/'Balance Sheet'!F18,0)</f>
        <v>6.5772618185111398</v>
      </c>
      <c r="G21" s="4">
        <f>IF('Balance Sheet'!G18&gt;0,'Profit &amp; Loss'!G4/'Balance Sheet'!G18,0)</f>
        <v>9.7672106494374518</v>
      </c>
      <c r="H21" s="4">
        <f>IF('Balance Sheet'!H18&gt;0,'Profit &amp; Loss'!H4/'Balance Sheet'!H18,0)</f>
        <v>8.6026389151389147</v>
      </c>
      <c r="I21" s="4">
        <f>IF('Balance Sheet'!I18&gt;0,'Profit &amp; Loss'!I4/'Balance Sheet'!I18,0)</f>
        <v>6.9219253005715791</v>
      </c>
      <c r="J21" s="4">
        <f>IF('Balance Sheet'!J18&gt;0,'Profit &amp; Loss'!J4/'Balance Sheet'!J18,0)</f>
        <v>5.7125151501025542</v>
      </c>
      <c r="K21" s="4">
        <f>IF('Balance Sheet'!K18&gt;0,'Profit &amp; Loss'!K4/'Balance Sheet'!K18,0)</f>
        <v>7.3223396879177116</v>
      </c>
    </row>
    <row r="23" spans="1:11" s="2" customFormat="1" x14ac:dyDescent="0.3">
      <c r="A23" s="2" t="s">
        <v>59</v>
      </c>
      <c r="B23" s="10">
        <f>IF(SUM('Balance Sheet'!B4:B5)&gt;0,'Profit &amp; Loss'!B12/SUM('Balance Sheet'!B4:B5),"")</f>
        <v>4.8149309912170639E-2</v>
      </c>
      <c r="C23" s="10">
        <f>IF(SUM('Balance Sheet'!C4:C5)&gt;0,'Profit &amp; Loss'!C12/SUM('Balance Sheet'!C4:C5),"")</f>
        <v>8.0984373168489707E-2</v>
      </c>
      <c r="D23" s="10">
        <f>IF(SUM('Balance Sheet'!D4:D5)&gt;0,'Profit &amp; Loss'!D12/SUM('Balance Sheet'!D4:D5),"")</f>
        <v>0.15665826990619103</v>
      </c>
      <c r="E23" s="10">
        <f>IF(SUM('Balance Sheet'!E4:E5)&gt;0,'Profit &amp; Loss'!E12/SUM('Balance Sheet'!E4:E5),"")</f>
        <v>0.17914037456657778</v>
      </c>
      <c r="F23" s="10">
        <f>IF(SUM('Balance Sheet'!F4:F5)&gt;0,'Profit &amp; Loss'!F12/SUM('Balance Sheet'!F4:F5),"")</f>
        <v>0.1514884198370437</v>
      </c>
      <c r="G23" s="10">
        <f>IF(SUM('Balance Sheet'!G4:G5)&gt;0,'Profit &amp; Loss'!G12/SUM('Balance Sheet'!G4:G5),"")</f>
        <v>0.17338588536309249</v>
      </c>
      <c r="H23" s="10">
        <f>IF(SUM('Balance Sheet'!H4:H5)&gt;0,'Profit &amp; Loss'!H12/SUM('Balance Sheet'!H4:H5),"")</f>
        <v>9.6905222437137339E-2</v>
      </c>
      <c r="I23" s="10">
        <f>IF(SUM('Balance Sheet'!I4:I5)&gt;0,'Profit &amp; Loss'!I12/SUM('Balance Sheet'!I4:I5),"")</f>
        <v>7.7782161576506303E-2</v>
      </c>
      <c r="J23" s="10">
        <f>IF(SUM('Balance Sheet'!J4:J5)&gt;0,'Profit &amp; Loss'!J12/SUM('Balance Sheet'!J4:J5),"")</f>
        <v>0.11467740887531674</v>
      </c>
      <c r="K23" s="10">
        <f>IF(SUM('Balance Sheet'!K4:K5)&gt;0,'Profit &amp; Loss'!K12/SUM('Balance Sheet'!K4:K5),"")</f>
        <v>0.12201836632326274</v>
      </c>
    </row>
    <row r="24" spans="1:11" s="2" customFormat="1" x14ac:dyDescent="0.3">
      <c r="A24" s="2" t="s">
        <v>60</v>
      </c>
      <c r="B24" s="10"/>
      <c r="C24" s="10">
        <f>IF((B4+B5+B6+C4+C5+C6)&gt;0,('Profit &amp; Loss'!C10+'Profit &amp; Loss'!C9)*2/(B4+B5+B6+C4+C5+C6),"")</f>
        <v>0.12911184210526316</v>
      </c>
      <c r="D24" s="10">
        <f>IF((C4+C5+C6+D4+D5+D6)&gt;0,('Profit &amp; Loss'!D10+'Profit &amp; Loss'!D9)*2/(C4+C5+C6+D4+D5+D6),"")</f>
        <v>0.25938992291557794</v>
      </c>
      <c r="E24" s="10">
        <f>IF((D4+D5+D6+E4+E5+E6)&gt;0,('Profit &amp; Loss'!E10+'Profit &amp; Loss'!E9)*2/(D4+D5+D6+E4+E5+E6),"")</f>
        <v>0.28140012412176191</v>
      </c>
      <c r="F24" s="10">
        <f>IF((E4+E5+E6+F4+F5+F6)&gt;0,('Profit &amp; Loss'!F10+'Profit &amp; Loss'!F9)*2/(E4+E5+E6+F4+F5+F6),"")</f>
        <v>0.20997725311789159</v>
      </c>
      <c r="G24" s="10">
        <f>IF((F4+F5+F6+G4+G5+G6)&gt;0,('Profit &amp; Loss'!G10+'Profit &amp; Loss'!G9)*2/(F4+F5+F6+G4+G5+G6),"")</f>
        <v>0.28311849157942309</v>
      </c>
      <c r="H24" s="10">
        <f>IF((G4+G5+G6+H4+H5+H6)&gt;0,('Profit &amp; Loss'!H10+'Profit &amp; Loss'!H9)*2/(G4+G5+G6+H4+H5+H6),"")</f>
        <v>0.15822787294355184</v>
      </c>
      <c r="I24" s="10">
        <f>IF((H4+H5+H6+I4+I5+I6)&gt;0,('Profit &amp; Loss'!I10+'Profit &amp; Loss'!I9)*2/(H4+H5+H6+I4+I5+I6),"")</f>
        <v>0.10667683283571949</v>
      </c>
      <c r="J24" s="10">
        <f>IF((I4+I5+I6+J4+J5+J6)&gt;0,('Profit &amp; Loss'!J10+'Profit &amp; Loss'!J9)*2/(I4+I5+I6+J4+J5+J6),"")</f>
        <v>0.1583630975754633</v>
      </c>
      <c r="K24" s="10">
        <f>IF((J4+J5+J6+K4+K5+K6)&gt;0,('Profit &amp; Loss'!K10+'Profit &amp; Loss'!K9)*2/(J4+J5+J6+K4+K5+K6),"")</f>
        <v>0.14979307152757779</v>
      </c>
    </row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87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bestFit="1" customWidth="1"/>
    <col min="2" max="6" width="13.44140625" customWidth="1"/>
    <col min="7" max="11" width="13.44140625" bestFit="1" customWidth="1"/>
  </cols>
  <sheetData>
    <row r="1" spans="1:11" s="2" customFormat="1" x14ac:dyDescent="0.3">
      <c r="A1" s="2" t="str">
        <f>'Balance Sheet'!A1</f>
        <v>ESCORTS KUBOTA LTD</v>
      </c>
      <c r="E1" t="str">
        <f>UPDATE</f>
        <v/>
      </c>
      <c r="F1"/>
      <c r="J1" s="2" t="s">
        <v>1</v>
      </c>
    </row>
    <row r="3" spans="1:11" s="2" customFormat="1" x14ac:dyDescent="0.3">
      <c r="A3" s="11" t="s">
        <v>2</v>
      </c>
      <c r="B3" s="12">
        <f>'Data Sheet'!B81</f>
        <v>42460</v>
      </c>
      <c r="C3" s="12">
        <f>'Data Sheet'!C81</f>
        <v>42825</v>
      </c>
      <c r="D3" s="12">
        <f>'Data Sheet'!D81</f>
        <v>43190</v>
      </c>
      <c r="E3" s="12">
        <f>'Data Sheet'!E81</f>
        <v>43555</v>
      </c>
      <c r="F3" s="12">
        <f>'Data Sheet'!F81</f>
        <v>43921</v>
      </c>
      <c r="G3" s="12">
        <f>'Data Sheet'!G81</f>
        <v>44286</v>
      </c>
      <c r="H3" s="12">
        <f>'Data Sheet'!H81</f>
        <v>44651</v>
      </c>
      <c r="I3" s="12">
        <f>'Data Sheet'!I81</f>
        <v>45016</v>
      </c>
      <c r="J3" s="12">
        <f>'Data Sheet'!J81</f>
        <v>45382</v>
      </c>
      <c r="K3" s="12">
        <f>'Data Sheet'!K81</f>
        <v>45747</v>
      </c>
    </row>
    <row r="4" spans="1:11" s="2" customFormat="1" x14ac:dyDescent="0.3">
      <c r="A4" s="2" t="s">
        <v>32</v>
      </c>
      <c r="B4" s="1">
        <f>'Data Sheet'!B82</f>
        <v>212.24</v>
      </c>
      <c r="C4" s="1">
        <f>'Data Sheet'!C82</f>
        <v>303.83</v>
      </c>
      <c r="D4" s="1">
        <f>'Data Sheet'!D82</f>
        <v>460.08</v>
      </c>
      <c r="E4" s="1">
        <f>'Data Sheet'!E82</f>
        <v>-234.31</v>
      </c>
      <c r="F4" s="1">
        <f>'Data Sheet'!F82</f>
        <v>797.16</v>
      </c>
      <c r="G4" s="1">
        <f>'Data Sheet'!G82</f>
        <v>1128.6600000000001</v>
      </c>
      <c r="H4" s="1">
        <f>'Data Sheet'!H82</f>
        <v>32.28</v>
      </c>
      <c r="I4" s="1">
        <f>'Data Sheet'!I82</f>
        <v>223.91</v>
      </c>
      <c r="J4" s="1">
        <f>'Data Sheet'!J82</f>
        <v>788.6</v>
      </c>
      <c r="K4" s="1">
        <f>'Data Sheet'!K82</f>
        <v>1003.19</v>
      </c>
    </row>
    <row r="5" spans="1:11" x14ac:dyDescent="0.3">
      <c r="A5" t="s">
        <v>33</v>
      </c>
      <c r="B5" s="6">
        <f>'Data Sheet'!B83</f>
        <v>-44.09</v>
      </c>
      <c r="C5" s="6">
        <f>'Data Sheet'!C83</f>
        <v>-154.61000000000001</v>
      </c>
      <c r="D5" s="6">
        <f>'Data Sheet'!D83</f>
        <v>-374.18</v>
      </c>
      <c r="E5" s="6">
        <f>'Data Sheet'!E83</f>
        <v>-17.66</v>
      </c>
      <c r="F5" s="6">
        <f>'Data Sheet'!F83</f>
        <v>-420.87</v>
      </c>
      <c r="G5" s="6">
        <f>'Data Sheet'!G83</f>
        <v>-2195.15</v>
      </c>
      <c r="H5" s="6">
        <f>'Data Sheet'!H83</f>
        <v>-1856.39</v>
      </c>
      <c r="I5" s="6">
        <f>'Data Sheet'!I83</f>
        <v>-62.05</v>
      </c>
      <c r="J5" s="6">
        <f>'Data Sheet'!J83</f>
        <v>-759.06</v>
      </c>
      <c r="K5" s="6">
        <f>'Data Sheet'!K83</f>
        <v>-193.85</v>
      </c>
    </row>
    <row r="6" spans="1:11" x14ac:dyDescent="0.3">
      <c r="A6" t="s">
        <v>34</v>
      </c>
      <c r="B6" s="6">
        <f>'Data Sheet'!B84</f>
        <v>-190.89</v>
      </c>
      <c r="C6" s="6">
        <f>'Data Sheet'!C84</f>
        <v>-113.12</v>
      </c>
      <c r="D6" s="6">
        <f>'Data Sheet'!D84</f>
        <v>-0.99</v>
      </c>
      <c r="E6" s="6">
        <f>'Data Sheet'!E84</f>
        <v>190.89</v>
      </c>
      <c r="F6" s="6">
        <f>'Data Sheet'!F84</f>
        <v>-300.45</v>
      </c>
      <c r="G6" s="6">
        <f>'Data Sheet'!G84</f>
        <v>1003.34</v>
      </c>
      <c r="H6" s="6">
        <f>'Data Sheet'!H84</f>
        <v>1809.88</v>
      </c>
      <c r="I6" s="6">
        <f>'Data Sheet'!I84</f>
        <v>-71.22</v>
      </c>
      <c r="J6" s="6">
        <f>'Data Sheet'!J84</f>
        <v>24.77</v>
      </c>
      <c r="K6" s="6">
        <f>'Data Sheet'!K84</f>
        <v>-701.86</v>
      </c>
    </row>
    <row r="7" spans="1:11" s="2" customFormat="1" x14ac:dyDescent="0.3">
      <c r="A7" s="2" t="s">
        <v>35</v>
      </c>
      <c r="B7" s="1">
        <f>'Data Sheet'!B85</f>
        <v>-22.74</v>
      </c>
      <c r="C7" s="1">
        <f>'Data Sheet'!C85</f>
        <v>36.1</v>
      </c>
      <c r="D7" s="1">
        <f>'Data Sheet'!D85</f>
        <v>84.91</v>
      </c>
      <c r="E7" s="1">
        <f>'Data Sheet'!E85</f>
        <v>-61.08</v>
      </c>
      <c r="F7" s="1">
        <f>'Data Sheet'!F85</f>
        <v>75.84</v>
      </c>
      <c r="G7" s="1">
        <f>'Data Sheet'!G85</f>
        <v>-63.15</v>
      </c>
      <c r="H7" s="1">
        <f>'Data Sheet'!H85</f>
        <v>-14.23</v>
      </c>
      <c r="I7" s="1">
        <f>'Data Sheet'!I85</f>
        <v>90.64</v>
      </c>
      <c r="J7" s="1">
        <f>'Data Sheet'!J85</f>
        <v>54.31</v>
      </c>
      <c r="K7" s="1">
        <f>'Data Sheet'!K85</f>
        <v>107.48</v>
      </c>
    </row>
    <row r="8" spans="1:11" x14ac:dyDescent="0.3">
      <c r="B8" s="6"/>
      <c r="C8" s="6"/>
      <c r="D8" s="6"/>
      <c r="E8" s="6"/>
      <c r="F8" s="6"/>
      <c r="G8" s="6"/>
      <c r="H8" s="6"/>
      <c r="I8" s="6"/>
      <c r="J8" s="6"/>
      <c r="K8" s="6"/>
    </row>
    <row r="24" customFormat="1" x14ac:dyDescent="0.3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2"/>
    <col min="2" max="2" width="10.44140625" customWidth="1"/>
    <col min="3" max="3" width="13.33203125" style="20" customWidth="1"/>
    <col min="6" max="6" width="6.77734375" customWidth="1"/>
  </cols>
  <sheetData>
    <row r="1" spans="1:7" ht="21" x14ac:dyDescent="0.4">
      <c r="A1" s="19" t="s">
        <v>56</v>
      </c>
    </row>
    <row r="3" spans="1:7" x14ac:dyDescent="0.3">
      <c r="A3" s="2" t="s">
        <v>48</v>
      </c>
    </row>
    <row r="4" spans="1:7" x14ac:dyDescent="0.3">
      <c r="B4" t="s">
        <v>90</v>
      </c>
    </row>
    <row r="5" spans="1:7" x14ac:dyDescent="0.3">
      <c r="B5" t="s">
        <v>49</v>
      </c>
    </row>
    <row r="7" spans="1:7" x14ac:dyDescent="0.3">
      <c r="A7" s="2" t="s">
        <v>50</v>
      </c>
    </row>
    <row r="8" spans="1:7" x14ac:dyDescent="0.3">
      <c r="B8" t="s">
        <v>51</v>
      </c>
      <c r="C8" s="21" t="s">
        <v>91</v>
      </c>
    </row>
    <row r="10" spans="1:7" x14ac:dyDescent="0.3">
      <c r="A10" s="2" t="s">
        <v>52</v>
      </c>
    </row>
    <row r="11" spans="1:7" x14ac:dyDescent="0.3">
      <c r="B11" t="s">
        <v>53</v>
      </c>
    </row>
    <row r="14" spans="1:7" x14ac:dyDescent="0.3">
      <c r="A14" s="2" t="s">
        <v>54</v>
      </c>
    </row>
    <row r="15" spans="1:7" x14ac:dyDescent="0.3">
      <c r="B15" t="s">
        <v>55</v>
      </c>
    </row>
    <row r="16" spans="1:7" x14ac:dyDescent="0.3">
      <c r="B16" t="s">
        <v>92</v>
      </c>
      <c r="G16" s="22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FINANCIALS</vt:lpstr>
      <vt:lpstr>Data Sheet</vt:lpstr>
      <vt:lpstr>FORECASTING</vt:lpstr>
      <vt:lpstr>HISTORICAL FS</vt:lpstr>
      <vt:lpstr>BETA</vt:lpstr>
      <vt:lpstr>WACC</vt:lpstr>
      <vt:lpstr>RATIO ANALYSIS</vt:lpstr>
      <vt:lpstr>CFS</vt:lpstr>
      <vt:lpstr>Profit &amp; Loss</vt:lpstr>
      <vt:lpstr>Quarters</vt:lpstr>
      <vt:lpstr>Balance Sheet</vt:lpstr>
      <vt:lpstr>Cash Flow</vt:lpstr>
      <vt:lpstr>Customization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Pratham Jain</cp:lastModifiedBy>
  <cp:lastPrinted>2012-12-06T18:14:13Z</cp:lastPrinted>
  <dcterms:created xsi:type="dcterms:W3CDTF">2012-08-17T09:55:37Z</dcterms:created>
  <dcterms:modified xsi:type="dcterms:W3CDTF">2025-07-21T06:59:55Z</dcterms:modified>
</cp:coreProperties>
</file>